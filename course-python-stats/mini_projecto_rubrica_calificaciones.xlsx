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e5653104616ccd2/JP DIGITAL VENTURES/SMA/SCRIPTS/SMA - Intro_Stats/course-python-stats/"/>
    </mc:Choice>
  </mc:AlternateContent>
  <xr:revisionPtr revIDLastSave="0" documentId="8_{1FDA013B-FA6C-4970-AF7D-B14F5BCFD4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istro de Calificaciones" sheetId="1" r:id="rId1"/>
    <sheet name="Rubric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4" i="1" l="1"/>
  <c r="N34" i="1"/>
  <c r="L34" i="1"/>
  <c r="J34" i="1"/>
  <c r="H34" i="1"/>
  <c r="F34" i="1"/>
  <c r="O33" i="1"/>
  <c r="N33" i="1"/>
  <c r="L33" i="1"/>
  <c r="J33" i="1"/>
  <c r="H33" i="1"/>
  <c r="F33" i="1"/>
  <c r="Q32" i="1"/>
  <c r="O32" i="1"/>
  <c r="P32" i="1" s="1"/>
  <c r="N32" i="1"/>
  <c r="L32" i="1"/>
  <c r="J32" i="1"/>
  <c r="H32" i="1"/>
  <c r="F32" i="1"/>
  <c r="O31" i="1"/>
  <c r="N31" i="1"/>
  <c r="L31" i="1"/>
  <c r="J31" i="1"/>
  <c r="H31" i="1"/>
  <c r="F31" i="1"/>
  <c r="O30" i="1"/>
  <c r="N30" i="1"/>
  <c r="L30" i="1"/>
  <c r="J30" i="1"/>
  <c r="H30" i="1"/>
  <c r="F30" i="1"/>
  <c r="O29" i="1"/>
  <c r="N29" i="1"/>
  <c r="L29" i="1"/>
  <c r="J29" i="1"/>
  <c r="H29" i="1"/>
  <c r="F29" i="1"/>
  <c r="O28" i="1"/>
  <c r="N28" i="1"/>
  <c r="L28" i="1"/>
  <c r="J28" i="1"/>
  <c r="H28" i="1"/>
  <c r="F28" i="1"/>
  <c r="O27" i="1"/>
  <c r="N27" i="1"/>
  <c r="L27" i="1"/>
  <c r="J27" i="1"/>
  <c r="H27" i="1"/>
  <c r="F27" i="1"/>
  <c r="O26" i="1"/>
  <c r="N26" i="1"/>
  <c r="L26" i="1"/>
  <c r="J26" i="1"/>
  <c r="H26" i="1"/>
  <c r="F26" i="1"/>
  <c r="O25" i="1"/>
  <c r="N25" i="1"/>
  <c r="L25" i="1"/>
  <c r="J25" i="1"/>
  <c r="H25" i="1"/>
  <c r="F25" i="1"/>
  <c r="O24" i="1"/>
  <c r="N24" i="1"/>
  <c r="L24" i="1"/>
  <c r="J24" i="1"/>
  <c r="H24" i="1"/>
  <c r="F24" i="1"/>
  <c r="O23" i="1"/>
  <c r="N23" i="1"/>
  <c r="L23" i="1"/>
  <c r="J23" i="1"/>
  <c r="H23" i="1"/>
  <c r="F23" i="1"/>
  <c r="O22" i="1"/>
  <c r="N22" i="1"/>
  <c r="L22" i="1"/>
  <c r="J22" i="1"/>
  <c r="H22" i="1"/>
  <c r="F22" i="1"/>
  <c r="O21" i="1"/>
  <c r="N21" i="1"/>
  <c r="L21" i="1"/>
  <c r="H21" i="1"/>
  <c r="F21" i="1"/>
  <c r="O20" i="1"/>
  <c r="N20" i="1"/>
  <c r="L20" i="1"/>
  <c r="J20" i="1"/>
  <c r="H20" i="1"/>
  <c r="F20" i="1"/>
  <c r="O19" i="1"/>
  <c r="N19" i="1"/>
  <c r="L19" i="1"/>
  <c r="J19" i="1"/>
  <c r="H19" i="1"/>
  <c r="F19" i="1"/>
  <c r="O18" i="1"/>
  <c r="N18" i="1"/>
  <c r="L18" i="1"/>
  <c r="J18" i="1"/>
  <c r="H18" i="1"/>
  <c r="F18" i="1"/>
  <c r="O17" i="1"/>
  <c r="N17" i="1"/>
  <c r="L17" i="1"/>
  <c r="J17" i="1"/>
  <c r="H17" i="1"/>
  <c r="F17" i="1"/>
  <c r="O16" i="1"/>
  <c r="N16" i="1"/>
  <c r="L16" i="1"/>
  <c r="J16" i="1"/>
  <c r="H16" i="1"/>
  <c r="F16" i="1"/>
  <c r="O15" i="1"/>
  <c r="N15" i="1"/>
  <c r="L15" i="1"/>
  <c r="J15" i="1"/>
  <c r="H15" i="1"/>
  <c r="F15" i="1"/>
  <c r="O14" i="1"/>
  <c r="N14" i="1"/>
  <c r="L14" i="1"/>
  <c r="J14" i="1"/>
  <c r="H14" i="1"/>
  <c r="F14" i="1"/>
  <c r="O13" i="1"/>
  <c r="N13" i="1"/>
  <c r="L13" i="1"/>
  <c r="J13" i="1"/>
  <c r="H13" i="1"/>
  <c r="F13" i="1"/>
  <c r="O12" i="1"/>
  <c r="N12" i="1"/>
  <c r="L12" i="1"/>
  <c r="J12" i="1"/>
  <c r="H12" i="1"/>
  <c r="F12" i="1"/>
  <c r="O11" i="1"/>
  <c r="N11" i="1"/>
  <c r="L11" i="1"/>
  <c r="J11" i="1"/>
  <c r="H11" i="1"/>
  <c r="F11" i="1"/>
  <c r="O10" i="1"/>
  <c r="N10" i="1"/>
  <c r="L10" i="1"/>
  <c r="J10" i="1"/>
  <c r="H10" i="1"/>
  <c r="F10" i="1"/>
  <c r="O9" i="1"/>
  <c r="N9" i="1"/>
  <c r="L9" i="1"/>
  <c r="J9" i="1"/>
  <c r="H9" i="1"/>
  <c r="F9" i="1"/>
  <c r="O8" i="1"/>
  <c r="N8" i="1"/>
  <c r="L8" i="1"/>
  <c r="J8" i="1"/>
  <c r="H8" i="1"/>
  <c r="F8" i="1"/>
  <c r="O7" i="1"/>
  <c r="N7" i="1"/>
  <c r="L7" i="1"/>
  <c r="J7" i="1"/>
  <c r="H7" i="1"/>
  <c r="F7" i="1"/>
  <c r="O6" i="1"/>
  <c r="N6" i="1"/>
  <c r="L6" i="1"/>
  <c r="J6" i="1"/>
  <c r="H6" i="1"/>
  <c r="F6" i="1"/>
  <c r="O5" i="1"/>
  <c r="N5" i="1"/>
  <c r="L5" i="1"/>
  <c r="J5" i="1"/>
  <c r="H5" i="1"/>
  <c r="F5" i="1"/>
  <c r="O4" i="1"/>
  <c r="N4" i="1"/>
  <c r="L4" i="1"/>
  <c r="J4" i="1"/>
  <c r="H4" i="1"/>
  <c r="F4" i="1"/>
  <c r="Q34" i="1" l="1"/>
  <c r="P34" i="1"/>
  <c r="Q33" i="1"/>
  <c r="P33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P22" i="1"/>
  <c r="Q22" i="1"/>
  <c r="P21" i="1"/>
  <c r="Q21" i="1"/>
  <c r="Q20" i="1"/>
  <c r="P20" i="1"/>
  <c r="Q19" i="1"/>
  <c r="P19" i="1"/>
  <c r="Q18" i="1"/>
  <c r="P18" i="1"/>
  <c r="P17" i="1"/>
  <c r="Q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</calcChain>
</file>

<file path=xl/sharedStrings.xml><?xml version="1.0" encoding="utf-8"?>
<sst xmlns="http://schemas.openxmlformats.org/spreadsheetml/2006/main" count="146" uniqueCount="93">
  <si>
    <t>Registro de Calificaciones — Proyecto de Correlación</t>
  </si>
  <si>
    <t>No.</t>
  </si>
  <si>
    <t>Nombre del Estudiante</t>
  </si>
  <si>
    <t>Fecha de
Evaluación</t>
  </si>
  <si>
    <t>Criterio 1: Dataset y pregunta
(15 pts)</t>
  </si>
  <si>
    <t>Criterio 2: Análisis descriptivo
(20 pts)</t>
  </si>
  <si>
    <t>Criterio 3: Correlación e hipótesis
(20 pts)</t>
  </si>
  <si>
    <t>Criterio 4: Visualización
(20 pts)</t>
  </si>
  <si>
    <t>Criterio 5: Presentación
(10 pts)</t>
  </si>
  <si>
    <t>Total
(85 pts)</t>
  </si>
  <si>
    <t>%</t>
  </si>
  <si>
    <t>Nivel
General</t>
  </si>
  <si>
    <t>Comentarios</t>
  </si>
  <si>
    <t>Puntos</t>
  </si>
  <si>
    <t>Nivel</t>
  </si>
  <si>
    <t>Ej.</t>
  </si>
  <si>
    <t>Ana López (ejemplo)</t>
  </si>
  <si>
    <t>2026-09-04</t>
  </si>
  <si>
    <t>Leyenda: celdas en amarillo/azul (texto azul) = ingresa el dato. Las columnas "Nivel", "Total", "%" y "Nivel General" se calculan solas — no las edites a mano. "Nivel General" usa umbrales derivados proporcionalmente de los rangos de cada criterio (≥76 pts = AD, ≥60 = A, ≥38 = B, &lt;38 = C sobre 85 pts) para dar una lectura de conjunto; la calificación oficial de cada criterio es la que aparece en su columna "Nivel" respectiva. Ver hoja "Rubrica" para las definiciones completas de cada nivel.</t>
  </si>
  <si>
    <t>Rúbrica de Evaluación — Proyecto de Correlación (85 puntos)</t>
  </si>
  <si>
    <t>Calificación humana (no XP). Niveles de logro del CNB: AD = logro destacado · A = logro esperado · B = en proceso · C = en inicio.</t>
  </si>
  <si>
    <t>Criterio</t>
  </si>
  <si>
    <t>Puntos máx.</t>
  </si>
  <si>
    <t>Rango de puntos</t>
  </si>
  <si>
    <t>Descripción</t>
  </si>
  <si>
    <t>Criterio 1 — Calidad del dataset + pregunta de investigación</t>
  </si>
  <si>
    <t>AD</t>
  </si>
  <si>
    <t>14-15</t>
  </si>
  <si>
    <t>Dataset apropiado (del menú o propio con visto bueno), con dos columnas numéricas reales y suficientes filas. La afirmación es específica y genuinamente pone algo a prueba — no es obvia ni trivial.</t>
  </si>
  <si>
    <t>A</t>
  </si>
  <si>
    <t>11-13</t>
  </si>
  <si>
    <t>Dataset apropiado y afirmación clara, pero podría ser más específica (ej. "estas dos variables están relacionadas" en vez de una afirmación causal concreta).</t>
  </si>
  <si>
    <t>B</t>
  </si>
  <si>
    <t>7-10</t>
  </si>
  <si>
    <t>El dataset funciona pero la afirmación es vaga o genérica, o se eligió del menú sin pensar en por qué esa afirmación importa.</t>
  </si>
  <si>
    <t>C</t>
  </si>
  <si>
    <t>0-6</t>
  </si>
  <si>
    <t>El dataset no es apropiado (menos de 2 columnas numéricas usables, demasiados datos faltantes) o no hay una afirmación clara que poner a prueba.</t>
  </si>
  <si>
    <t>Criterio 2 — Análisis descriptivo con interpretación</t>
  </si>
  <si>
    <t>18-20</t>
  </si>
  <si>
    <t>.info() y .describe() ejecutados correctamente, y interpretados en palabras propias: cuántas filas hay, si faltan datos, y qué rango tienen las dos columnas de interés — no solo repite los números, explica qué significan para su pregunta.</t>
  </si>
  <si>
    <t>14-17</t>
  </si>
  <si>
    <t>Ejecuta correctamente y da una interpretación, pero superficial (menciona los números sin conectar con la pregunta de investigación).</t>
  </si>
  <si>
    <t>9-13</t>
  </si>
  <si>
    <t>Ejecuta el código pero no interpreta nada, o la interpretación tiene errores menores.</t>
  </si>
  <si>
    <t>0-8</t>
  </si>
  <si>
    <t>No ejecuta .info()/.describe(), o los resultados no corresponden a su dataset real.</t>
  </si>
  <si>
    <t>Criterio 3 — Análisis de correlación + hipótesis con crítica de causalidad  (el criterio más importante — puente a Semana 5)</t>
  </si>
  <si>
    <t>r calculado correctamente e interpretado en palabras (fuerza y dirección). La hipótesis da una razón específica y plausible (no "porque sí"). La respuesta a la Pregunta 2 nombra una explicación alternativa concreta — un confusor real, causalidad inversa, o coincidencia — no solo repite "correlación no es causalidad" sin explicar el mecanismo.</t>
  </si>
  <si>
    <t>r correcto e interpretado. Hipótesis razonable. La Pregunta 2 tiene respuesta pero es genérica ("podría haber otra causa" sin decir cuál).</t>
  </si>
  <si>
    <t>r calculado pero mal interpretado (confunde signo/fuerza, o usa lenguaje causal sin crítica — "esto prueba que X causa Y"). Hipótesis débil o ausente.</t>
  </si>
  <si>
    <t>r no calculado o incorrecto; no hay intento real de responder la Pregunta 2.</t>
  </si>
  <si>
    <t>Criterio 4 — Calidad de la visualización</t>
  </si>
  <si>
    <t>Scatter claro, ejes etiquetados con nombre y unidad, escala apropiada (sin distorsión), el patrón se lee a simple vista.</t>
  </si>
  <si>
    <t>Scatter funcional y ejes etiquetados, pero falta unidad o la escala podría mejorar.</t>
  </si>
  <si>
    <t>El scatter se genera pero tiene problemas (ejes sin etiqueta, variables invertidas, difícil de leer).</t>
  </si>
  <si>
    <t>No hay scatter, o no corresponde a las columnas elegidas.</t>
  </si>
  <si>
    <t>Criterio 5 — Claridad de la presentación</t>
  </si>
  <si>
    <t>9-10</t>
  </si>
  <si>
    <t>Sigue las 4 partes en orden, dentro de 2-3 minutos, explica con sus propias palabras (no lee de la pantalla), responde preguntas con seguridad.</t>
  </si>
  <si>
    <t>7-8</t>
  </si>
  <si>
    <t>Sigue las 4 partes en un tiempo razonable, pero lee bastante del notebook o de apuntes.</t>
  </si>
  <si>
    <t>4-6</t>
  </si>
  <si>
    <t>Falta alguna de las 4 partes, se pasa mucho del tiempo, o la explicación es confusa.</t>
  </si>
  <si>
    <t>0-3</t>
  </si>
  <si>
    <t>No presenta, o la presentación está claramente sin preparar.</t>
  </si>
  <si>
    <t>miranda, valentinaloayza</t>
  </si>
  <si>
    <t xml:space="preserve">Analisis de graficos necesita trabajo. </t>
  </si>
  <si>
    <t>mauricio, caarlotto</t>
  </si>
  <si>
    <t xml:space="preserve">presentacion necesita trabaj, mejor intro y fluidez </t>
  </si>
  <si>
    <t>gabriel, dylan</t>
  </si>
  <si>
    <t>brisa, fernanda</t>
  </si>
  <si>
    <t>raiza, arotuma</t>
  </si>
  <si>
    <t>carmen</t>
  </si>
  <si>
    <t>julia, juliane</t>
  </si>
  <si>
    <t>amir</t>
  </si>
  <si>
    <t>Fausto</t>
  </si>
  <si>
    <t>illary</t>
  </si>
  <si>
    <t>thaigo, julian</t>
  </si>
  <si>
    <t>jesus</t>
  </si>
  <si>
    <t>matias</t>
  </si>
  <si>
    <t>lady</t>
  </si>
  <si>
    <t>todo 3ro -&gt; C</t>
  </si>
  <si>
    <t>sebastian, tom</t>
  </si>
  <si>
    <t>gabriel, emiliano</t>
  </si>
  <si>
    <t>rafaela, mileva</t>
  </si>
  <si>
    <t>jennifer</t>
  </si>
  <si>
    <t>valeri</t>
  </si>
  <si>
    <t>wary</t>
  </si>
  <si>
    <t>Grado</t>
  </si>
  <si>
    <t>4to</t>
  </si>
  <si>
    <t>3ro</t>
  </si>
  <si>
    <t>5to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</si>
</sst>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4E78"/>
      <name val="Arial"/>
      <charset val="1"/>
    </font>
    <font>
      <sz val="11"/>
      <name val="Arial"/>
      <charset val="1"/>
    </font>
    <font>
      <i/>
      <sz val="11"/>
      <color rgb="FF808080"/>
      <name val="Arial"/>
      <charset val="1"/>
    </font>
    <font>
      <b/>
      <sz val="11"/>
      <name val="Arial"/>
      <charset val="1"/>
    </font>
    <font>
      <i/>
      <sz val="10"/>
      <color rgb="FF808080"/>
      <name val="Arial"/>
      <charset val="1"/>
    </font>
    <font>
      <sz val="11"/>
      <color rgb="FF0000FF"/>
      <name val="Arial"/>
      <charset val="1"/>
    </font>
    <font>
      <i/>
      <sz val="10"/>
      <color rgb="FF7F7F7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</cellXfs>
  <cellStyles count="1">
    <cellStyle name="Normal" xfId="0" builtinId="0"/>
  </cellStyles>
  <dxfs count="2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showGridLines="0" tabSelected="1" zoomScaleNormal="10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B23" sqref="B23:B28"/>
    </sheetView>
  </sheetViews>
  <sheetFormatPr defaultColWidth="8.7109375" defaultRowHeight="15" x14ac:dyDescent="0.25"/>
  <cols>
    <col min="1" max="2" width="6" customWidth="1"/>
    <col min="3" max="3" width="24" customWidth="1"/>
    <col min="4" max="4" width="12" customWidth="1"/>
    <col min="5" max="5" width="16.5703125" customWidth="1"/>
    <col min="6" max="6" width="21.7109375" customWidth="1"/>
    <col min="7" max="7" width="17.140625" customWidth="1"/>
    <col min="8" max="8" width="17.7109375" customWidth="1"/>
    <col min="9" max="9" width="18.140625" customWidth="1"/>
    <col min="10" max="11" width="20.28515625" customWidth="1"/>
    <col min="12" max="12" width="8" customWidth="1"/>
    <col min="13" max="13" width="15.85546875" customWidth="1"/>
    <col min="14" max="14" width="13.7109375" customWidth="1"/>
    <col min="15" max="15" width="10" customWidth="1"/>
    <col min="16" max="16" width="8" customWidth="1"/>
    <col min="17" max="17" width="9" customWidth="1"/>
    <col min="18" max="18" width="26" customWidth="1"/>
  </cols>
  <sheetData>
    <row r="1" spans="1:18" ht="25.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3.75" customHeight="1" x14ac:dyDescent="0.25">
      <c r="A2" s="23" t="s">
        <v>1</v>
      </c>
      <c r="B2" s="2" t="s">
        <v>89</v>
      </c>
      <c r="C2" s="23" t="s">
        <v>2</v>
      </c>
      <c r="D2" s="23" t="s">
        <v>3</v>
      </c>
      <c r="E2" s="23" t="s">
        <v>4</v>
      </c>
      <c r="F2" s="23"/>
      <c r="G2" s="23" t="s">
        <v>5</v>
      </c>
      <c r="H2" s="23"/>
      <c r="I2" s="23" t="s">
        <v>6</v>
      </c>
      <c r="J2" s="23"/>
      <c r="K2" s="23" t="s">
        <v>7</v>
      </c>
      <c r="L2" s="23"/>
      <c r="M2" s="23" t="s">
        <v>8</v>
      </c>
      <c r="N2" s="23"/>
      <c r="O2" s="23" t="s">
        <v>9</v>
      </c>
      <c r="P2" s="23" t="s">
        <v>10</v>
      </c>
      <c r="Q2" s="23" t="s">
        <v>11</v>
      </c>
      <c r="R2" s="23" t="s">
        <v>12</v>
      </c>
    </row>
    <row r="3" spans="1:18" ht="15.75" customHeight="1" x14ac:dyDescent="0.25">
      <c r="A3" s="23"/>
      <c r="B3" s="2"/>
      <c r="C3" s="23"/>
      <c r="D3" s="23"/>
      <c r="E3" s="3" t="s">
        <v>13</v>
      </c>
      <c r="F3" s="3" t="s">
        <v>14</v>
      </c>
      <c r="G3" s="3" t="s">
        <v>13</v>
      </c>
      <c r="H3" s="3" t="s">
        <v>14</v>
      </c>
      <c r="I3" s="3" t="s">
        <v>13</v>
      </c>
      <c r="J3" s="3" t="s">
        <v>14</v>
      </c>
      <c r="K3" s="3" t="s">
        <v>13</v>
      </c>
      <c r="L3" s="3" t="s">
        <v>14</v>
      </c>
      <c r="M3" s="3" t="s">
        <v>13</v>
      </c>
      <c r="N3" s="3" t="s">
        <v>14</v>
      </c>
      <c r="O3" s="23"/>
      <c r="P3" s="23"/>
      <c r="Q3" s="23"/>
      <c r="R3" s="23"/>
    </row>
    <row r="4" spans="1:18" ht="15.75" customHeight="1" x14ac:dyDescent="0.25">
      <c r="A4" s="4" t="s">
        <v>15</v>
      </c>
      <c r="B4" s="4"/>
      <c r="C4" s="5" t="s">
        <v>16</v>
      </c>
      <c r="D4" s="6" t="s">
        <v>17</v>
      </c>
      <c r="E4" s="6">
        <v>14</v>
      </c>
      <c r="F4" s="7" t="str">
        <f t="shared" ref="F4:F34" si="0">IF(E4="","",IF(E4&gt;=14,"AD",IF(E4&gt;=11,"A",IF(E4&gt;=7,"B","C"))))</f>
        <v>AD</v>
      </c>
      <c r="G4" s="6">
        <v>19</v>
      </c>
      <c r="H4" s="7" t="str">
        <f t="shared" ref="H4:H34" si="1">IF(G4="","",IF(G4&gt;=18,"AD",IF(G4&gt;=14,"A",IF(G4&gt;=9,"B","C"))))</f>
        <v>AD</v>
      </c>
      <c r="I4" s="6">
        <v>17</v>
      </c>
      <c r="J4" s="7" t="str">
        <f t="shared" ref="J4:J34" si="2">IF(I4="","",IF(I4&gt;=18,"AD",IF(I4&gt;=14,"A",IF(I4&gt;=9,"B","C"))))</f>
        <v>A</v>
      </c>
      <c r="K4" s="6">
        <v>18</v>
      </c>
      <c r="L4" s="7" t="str">
        <f t="shared" ref="L4:L34" si="3">IF(K4="","",IF(K4&gt;=18,"AD",IF(K4&gt;=14,"A",IF(K4&gt;=9,"B","C"))))</f>
        <v>AD</v>
      </c>
      <c r="M4" s="6">
        <v>8</v>
      </c>
      <c r="N4" s="7" t="str">
        <f t="shared" ref="N4:N34" si="4">IF(M4="","",IF(M4&gt;=9,"AD",IF(M4&gt;=7,"A",IF(M4&gt;=4,"B","C"))))</f>
        <v>A</v>
      </c>
      <c r="O4" s="7">
        <f t="shared" ref="O4:O34" si="5">IF(COUNT(E4,G4,I4,K4,M4)=0,"",SUM(E4,G4,I4,K4,M4))</f>
        <v>76</v>
      </c>
      <c r="P4" s="8">
        <f t="shared" ref="P4:P34" si="6">IF(O4="","",O4/85)</f>
        <v>0.89411764705882357</v>
      </c>
      <c r="Q4" s="7" t="str">
        <f t="shared" ref="Q4:Q34" si="7">IF(O4="","",IF(O4&gt;=76,"AD",IF(O4&gt;=60,"A",IF(O4&gt;=38,"B","C"))))</f>
        <v>AD</v>
      </c>
      <c r="R4" s="9"/>
    </row>
    <row r="5" spans="1:18" ht="15.75" customHeight="1" x14ac:dyDescent="0.25">
      <c r="A5" s="10">
        <v>1</v>
      </c>
      <c r="B5" s="10" t="s">
        <v>90</v>
      </c>
      <c r="C5" s="11" t="s">
        <v>66</v>
      </c>
      <c r="D5" s="12"/>
      <c r="E5" s="13">
        <v>14</v>
      </c>
      <c r="F5" s="14" t="str">
        <f t="shared" si="0"/>
        <v>AD</v>
      </c>
      <c r="G5" s="13">
        <v>14</v>
      </c>
      <c r="H5" s="14" t="str">
        <f t="shared" si="1"/>
        <v>A</v>
      </c>
      <c r="I5" s="13">
        <v>14</v>
      </c>
      <c r="J5" s="14" t="str">
        <f t="shared" si="2"/>
        <v>A</v>
      </c>
      <c r="K5" s="13">
        <v>13</v>
      </c>
      <c r="L5" s="14" t="str">
        <f t="shared" si="3"/>
        <v>B</v>
      </c>
      <c r="M5" s="13">
        <v>7</v>
      </c>
      <c r="N5" s="14" t="str">
        <f t="shared" si="4"/>
        <v>A</v>
      </c>
      <c r="O5" s="14">
        <f t="shared" si="5"/>
        <v>62</v>
      </c>
      <c r="P5" s="15">
        <f t="shared" si="6"/>
        <v>0.72941176470588232</v>
      </c>
      <c r="Q5" s="14" t="str">
        <f t="shared" si="7"/>
        <v>A</v>
      </c>
      <c r="R5" s="16" t="s">
        <v>67</v>
      </c>
    </row>
    <row r="6" spans="1:18" ht="15.75" customHeight="1" x14ac:dyDescent="0.25">
      <c r="A6" s="10">
        <v>2</v>
      </c>
      <c r="B6" s="10" t="s">
        <v>90</v>
      </c>
      <c r="C6" s="11" t="s">
        <v>68</v>
      </c>
      <c r="D6" s="12"/>
      <c r="E6" s="13">
        <v>14</v>
      </c>
      <c r="F6" s="14" t="str">
        <f t="shared" si="0"/>
        <v>AD</v>
      </c>
      <c r="G6" s="13">
        <v>16</v>
      </c>
      <c r="H6" s="14" t="str">
        <f t="shared" si="1"/>
        <v>A</v>
      </c>
      <c r="I6" s="13">
        <v>20</v>
      </c>
      <c r="J6" s="14" t="str">
        <f t="shared" si="2"/>
        <v>AD</v>
      </c>
      <c r="K6" s="13">
        <v>20</v>
      </c>
      <c r="L6" s="14" t="str">
        <f t="shared" si="3"/>
        <v>AD</v>
      </c>
      <c r="M6" s="13">
        <v>8</v>
      </c>
      <c r="N6" s="14" t="str">
        <f t="shared" si="4"/>
        <v>A</v>
      </c>
      <c r="O6" s="14">
        <f t="shared" si="5"/>
        <v>78</v>
      </c>
      <c r="P6" s="15">
        <f t="shared" si="6"/>
        <v>0.91764705882352937</v>
      </c>
      <c r="Q6" s="14" t="str">
        <f t="shared" si="7"/>
        <v>AD</v>
      </c>
      <c r="R6" s="16" t="s">
        <v>69</v>
      </c>
    </row>
    <row r="7" spans="1:18" ht="15.75" customHeight="1" x14ac:dyDescent="0.25">
      <c r="A7" s="10">
        <v>3</v>
      </c>
      <c r="B7" s="10" t="s">
        <v>90</v>
      </c>
      <c r="C7" s="11" t="s">
        <v>70</v>
      </c>
      <c r="D7" s="12"/>
      <c r="E7" s="13">
        <v>14</v>
      </c>
      <c r="F7" s="14" t="str">
        <f t="shared" si="0"/>
        <v>AD</v>
      </c>
      <c r="G7" s="13">
        <v>18</v>
      </c>
      <c r="H7" s="14" t="str">
        <f t="shared" si="1"/>
        <v>AD</v>
      </c>
      <c r="I7" s="13">
        <v>20</v>
      </c>
      <c r="J7" s="14" t="str">
        <f t="shared" si="2"/>
        <v>AD</v>
      </c>
      <c r="K7" s="13">
        <v>20</v>
      </c>
      <c r="L7" s="14" t="str">
        <f t="shared" si="3"/>
        <v>AD</v>
      </c>
      <c r="M7" s="13">
        <v>6</v>
      </c>
      <c r="N7" s="14" t="str">
        <f t="shared" si="4"/>
        <v>B</v>
      </c>
      <c r="O7" s="14">
        <f t="shared" si="5"/>
        <v>78</v>
      </c>
      <c r="P7" s="15">
        <f t="shared" si="6"/>
        <v>0.91764705882352937</v>
      </c>
      <c r="Q7" s="14" t="str">
        <f t="shared" si="7"/>
        <v>AD</v>
      </c>
      <c r="R7" s="16"/>
    </row>
    <row r="8" spans="1:18" ht="15.75" customHeight="1" x14ac:dyDescent="0.25">
      <c r="A8" s="10">
        <v>4</v>
      </c>
      <c r="B8" s="10" t="s">
        <v>90</v>
      </c>
      <c r="C8" s="11" t="s">
        <v>71</v>
      </c>
      <c r="D8" s="12"/>
      <c r="E8" s="13">
        <v>14</v>
      </c>
      <c r="F8" s="14" t="str">
        <f t="shared" si="0"/>
        <v>AD</v>
      </c>
      <c r="G8" s="13">
        <v>18</v>
      </c>
      <c r="H8" s="14" t="str">
        <f t="shared" si="1"/>
        <v>AD</v>
      </c>
      <c r="I8" s="13">
        <v>18</v>
      </c>
      <c r="J8" s="14" t="str">
        <f t="shared" si="2"/>
        <v>AD</v>
      </c>
      <c r="K8" s="13">
        <v>20</v>
      </c>
      <c r="L8" s="14" t="str">
        <f t="shared" si="3"/>
        <v>AD</v>
      </c>
      <c r="M8" s="13">
        <v>9</v>
      </c>
      <c r="N8" s="14" t="str">
        <f t="shared" si="4"/>
        <v>AD</v>
      </c>
      <c r="O8" s="14">
        <f t="shared" si="5"/>
        <v>79</v>
      </c>
      <c r="P8" s="15">
        <f t="shared" si="6"/>
        <v>0.92941176470588238</v>
      </c>
      <c r="Q8" s="14" t="str">
        <f t="shared" si="7"/>
        <v>AD</v>
      </c>
      <c r="R8" s="16"/>
    </row>
    <row r="9" spans="1:18" ht="15.75" customHeight="1" x14ac:dyDescent="0.25">
      <c r="A9" s="10">
        <v>5</v>
      </c>
      <c r="B9" s="10" t="s">
        <v>90</v>
      </c>
      <c r="C9" s="11" t="s">
        <v>72</v>
      </c>
      <c r="D9" s="12"/>
      <c r="E9" s="13">
        <v>14</v>
      </c>
      <c r="F9" s="14" t="str">
        <f t="shared" si="0"/>
        <v>AD</v>
      </c>
      <c r="G9" s="13">
        <v>15</v>
      </c>
      <c r="H9" s="14" t="str">
        <f t="shared" si="1"/>
        <v>A</v>
      </c>
      <c r="I9" s="13">
        <v>17</v>
      </c>
      <c r="J9" s="14" t="str">
        <f t="shared" si="2"/>
        <v>A</v>
      </c>
      <c r="K9" s="13">
        <v>20</v>
      </c>
      <c r="L9" s="14" t="str">
        <f t="shared" si="3"/>
        <v>AD</v>
      </c>
      <c r="M9" s="13">
        <v>5</v>
      </c>
      <c r="N9" s="14" t="str">
        <f t="shared" si="4"/>
        <v>B</v>
      </c>
      <c r="O9" s="14">
        <f t="shared" si="5"/>
        <v>71</v>
      </c>
      <c r="P9" s="15">
        <f t="shared" si="6"/>
        <v>0.83529411764705885</v>
      </c>
      <c r="Q9" s="14" t="str">
        <f t="shared" si="7"/>
        <v>A</v>
      </c>
      <c r="R9" s="16" t="s">
        <v>69</v>
      </c>
    </row>
    <row r="10" spans="1:18" ht="15.75" customHeight="1" x14ac:dyDescent="0.25">
      <c r="A10" s="10">
        <v>6</v>
      </c>
      <c r="B10" s="10" t="s">
        <v>90</v>
      </c>
      <c r="C10" s="11" t="s">
        <v>73</v>
      </c>
      <c r="D10" s="12"/>
      <c r="E10" s="13">
        <v>14</v>
      </c>
      <c r="F10" s="14" t="str">
        <f t="shared" si="0"/>
        <v>AD</v>
      </c>
      <c r="G10" s="13">
        <v>15</v>
      </c>
      <c r="H10" s="14" t="str">
        <f t="shared" si="1"/>
        <v>A</v>
      </c>
      <c r="I10" s="13">
        <v>18</v>
      </c>
      <c r="J10" s="14" t="str">
        <f t="shared" si="2"/>
        <v>AD</v>
      </c>
      <c r="K10" s="13">
        <v>17</v>
      </c>
      <c r="L10" s="14" t="str">
        <f t="shared" si="3"/>
        <v>A</v>
      </c>
      <c r="M10" s="13">
        <v>5</v>
      </c>
      <c r="N10" s="14" t="str">
        <f t="shared" si="4"/>
        <v>B</v>
      </c>
      <c r="O10" s="14">
        <f t="shared" si="5"/>
        <v>69</v>
      </c>
      <c r="P10" s="15">
        <f t="shared" si="6"/>
        <v>0.81176470588235294</v>
      </c>
      <c r="Q10" s="14" t="str">
        <f t="shared" si="7"/>
        <v>A</v>
      </c>
      <c r="R10" s="16" t="s">
        <v>69</v>
      </c>
    </row>
    <row r="11" spans="1:18" ht="15.75" customHeight="1" x14ac:dyDescent="0.25">
      <c r="A11" s="10">
        <v>7</v>
      </c>
      <c r="B11" s="10" t="s">
        <v>90</v>
      </c>
      <c r="C11" s="11" t="s">
        <v>74</v>
      </c>
      <c r="D11" s="12"/>
      <c r="E11" s="13">
        <v>14</v>
      </c>
      <c r="F11" s="14" t="str">
        <f t="shared" si="0"/>
        <v>AD</v>
      </c>
      <c r="G11" s="13">
        <v>15</v>
      </c>
      <c r="H11" s="14" t="str">
        <f t="shared" si="1"/>
        <v>A</v>
      </c>
      <c r="I11" s="13">
        <v>10</v>
      </c>
      <c r="J11" s="14" t="str">
        <f t="shared" si="2"/>
        <v>B</v>
      </c>
      <c r="K11" s="13">
        <v>13</v>
      </c>
      <c r="L11" s="14" t="str">
        <f t="shared" si="3"/>
        <v>B</v>
      </c>
      <c r="M11" s="13">
        <v>5</v>
      </c>
      <c r="N11" s="14" t="str">
        <f t="shared" si="4"/>
        <v>B</v>
      </c>
      <c r="O11" s="14">
        <f t="shared" si="5"/>
        <v>57</v>
      </c>
      <c r="P11" s="15">
        <f t="shared" si="6"/>
        <v>0.6705882352941176</v>
      </c>
      <c r="Q11" s="14" t="str">
        <f t="shared" si="7"/>
        <v>B</v>
      </c>
      <c r="R11" s="16"/>
    </row>
    <row r="12" spans="1:18" ht="15.75" customHeight="1" x14ac:dyDescent="0.25">
      <c r="A12" s="10">
        <v>8</v>
      </c>
      <c r="B12" s="10" t="s">
        <v>90</v>
      </c>
      <c r="C12" s="11" t="s">
        <v>75</v>
      </c>
      <c r="D12" s="12"/>
      <c r="E12" s="13">
        <v>10</v>
      </c>
      <c r="F12" s="14" t="str">
        <f t="shared" si="0"/>
        <v>B</v>
      </c>
      <c r="G12" s="13">
        <v>15</v>
      </c>
      <c r="H12" s="14" t="str">
        <f t="shared" si="1"/>
        <v>A</v>
      </c>
      <c r="I12" s="13">
        <v>0</v>
      </c>
      <c r="J12" s="14" t="str">
        <f t="shared" si="2"/>
        <v>C</v>
      </c>
      <c r="K12" s="13">
        <v>0</v>
      </c>
      <c r="L12" s="14" t="str">
        <f t="shared" si="3"/>
        <v>C</v>
      </c>
      <c r="M12" s="13">
        <v>0</v>
      </c>
      <c r="N12" s="14" t="str">
        <f t="shared" si="4"/>
        <v>C</v>
      </c>
      <c r="O12" s="14">
        <f t="shared" si="5"/>
        <v>25</v>
      </c>
      <c r="P12" s="15">
        <f t="shared" si="6"/>
        <v>0.29411764705882354</v>
      </c>
      <c r="Q12" s="14" t="str">
        <f t="shared" si="7"/>
        <v>C</v>
      </c>
      <c r="R12" s="16"/>
    </row>
    <row r="13" spans="1:18" ht="15.75" customHeight="1" x14ac:dyDescent="0.25">
      <c r="A13" s="10">
        <v>9</v>
      </c>
      <c r="B13" s="10" t="s">
        <v>90</v>
      </c>
      <c r="C13" s="11" t="s">
        <v>76</v>
      </c>
      <c r="D13" s="12"/>
      <c r="E13" s="13">
        <v>10</v>
      </c>
      <c r="F13" s="14" t="str">
        <f t="shared" si="0"/>
        <v>B</v>
      </c>
      <c r="G13" s="13">
        <v>15</v>
      </c>
      <c r="H13" s="14" t="str">
        <f t="shared" si="1"/>
        <v>A</v>
      </c>
      <c r="I13" s="13">
        <v>15</v>
      </c>
      <c r="J13" s="14" t="str">
        <f t="shared" si="2"/>
        <v>A</v>
      </c>
      <c r="K13" s="13">
        <v>17</v>
      </c>
      <c r="L13" s="14" t="str">
        <f t="shared" si="3"/>
        <v>A</v>
      </c>
      <c r="M13" s="13">
        <v>0</v>
      </c>
      <c r="N13" s="14" t="str">
        <f t="shared" si="4"/>
        <v>C</v>
      </c>
      <c r="O13" s="14">
        <f t="shared" si="5"/>
        <v>57</v>
      </c>
      <c r="P13" s="15">
        <f t="shared" si="6"/>
        <v>0.6705882352941176</v>
      </c>
      <c r="Q13" s="14" t="str">
        <f t="shared" si="7"/>
        <v>B</v>
      </c>
      <c r="R13" s="16"/>
    </row>
    <row r="14" spans="1:18" ht="15.75" customHeight="1" x14ac:dyDescent="0.25">
      <c r="A14" s="10">
        <v>10</v>
      </c>
      <c r="B14" s="10" t="s">
        <v>90</v>
      </c>
      <c r="C14" s="11" t="s">
        <v>77</v>
      </c>
      <c r="D14" s="12"/>
      <c r="E14" s="13">
        <v>14</v>
      </c>
      <c r="F14" s="14" t="str">
        <f t="shared" si="0"/>
        <v>AD</v>
      </c>
      <c r="G14" s="13">
        <v>15</v>
      </c>
      <c r="H14" s="14" t="str">
        <f t="shared" si="1"/>
        <v>A</v>
      </c>
      <c r="I14" s="13">
        <v>15</v>
      </c>
      <c r="J14" s="14" t="str">
        <f t="shared" si="2"/>
        <v>A</v>
      </c>
      <c r="K14" s="13">
        <v>0</v>
      </c>
      <c r="L14" s="14" t="str">
        <f t="shared" si="3"/>
        <v>C</v>
      </c>
      <c r="M14" s="13">
        <v>0</v>
      </c>
      <c r="N14" s="14" t="str">
        <f t="shared" si="4"/>
        <v>C</v>
      </c>
      <c r="O14" s="14">
        <f t="shared" si="5"/>
        <v>44</v>
      </c>
      <c r="P14" s="15">
        <f t="shared" si="6"/>
        <v>0.51764705882352946</v>
      </c>
      <c r="Q14" s="14" t="str">
        <f t="shared" si="7"/>
        <v>B</v>
      </c>
      <c r="R14" s="16"/>
    </row>
    <row r="15" spans="1:18" ht="15.75" customHeight="1" x14ac:dyDescent="0.25">
      <c r="A15" s="10">
        <v>11</v>
      </c>
      <c r="B15" s="10"/>
      <c r="C15" s="11"/>
      <c r="D15" s="12"/>
      <c r="E15" s="13"/>
      <c r="F15" s="14" t="str">
        <f t="shared" si="0"/>
        <v/>
      </c>
      <c r="G15" s="13"/>
      <c r="H15" s="14" t="str">
        <f t="shared" si="1"/>
        <v/>
      </c>
      <c r="I15" s="13"/>
      <c r="J15" s="14" t="str">
        <f t="shared" si="2"/>
        <v/>
      </c>
      <c r="K15" s="13"/>
      <c r="L15" s="14" t="str">
        <f t="shared" si="3"/>
        <v/>
      </c>
      <c r="M15" s="13"/>
      <c r="N15" s="14" t="str">
        <f t="shared" si="4"/>
        <v/>
      </c>
      <c r="O15" s="14" t="str">
        <f t="shared" si="5"/>
        <v/>
      </c>
      <c r="P15" s="15" t="str">
        <f t="shared" si="6"/>
        <v/>
      </c>
      <c r="Q15" s="14" t="str">
        <f t="shared" si="7"/>
        <v/>
      </c>
      <c r="R15" s="16"/>
    </row>
    <row r="16" spans="1:18" ht="15.75" customHeight="1" x14ac:dyDescent="0.25">
      <c r="A16" s="10">
        <v>15</v>
      </c>
      <c r="B16" s="10" t="s">
        <v>91</v>
      </c>
      <c r="C16" s="11" t="s">
        <v>78</v>
      </c>
      <c r="D16" s="12"/>
      <c r="E16" s="13">
        <v>14</v>
      </c>
      <c r="F16" s="14" t="str">
        <f t="shared" si="0"/>
        <v>AD</v>
      </c>
      <c r="G16" s="13">
        <v>5</v>
      </c>
      <c r="H16" s="14" t="str">
        <f t="shared" si="1"/>
        <v>C</v>
      </c>
      <c r="I16" s="13">
        <v>5</v>
      </c>
      <c r="J16" s="14" t="str">
        <f t="shared" si="2"/>
        <v>C</v>
      </c>
      <c r="K16" s="13">
        <v>5</v>
      </c>
      <c r="L16" s="14" t="str">
        <f t="shared" si="3"/>
        <v>C</v>
      </c>
      <c r="M16" s="13">
        <v>5</v>
      </c>
      <c r="N16" s="14" t="str">
        <f t="shared" si="4"/>
        <v>B</v>
      </c>
      <c r="O16" s="14">
        <f t="shared" si="5"/>
        <v>34</v>
      </c>
      <c r="P16" s="15">
        <f t="shared" si="6"/>
        <v>0.4</v>
      </c>
      <c r="Q16" s="14" t="str">
        <f t="shared" si="7"/>
        <v>C</v>
      </c>
      <c r="R16" s="16"/>
    </row>
    <row r="17" spans="1:18" ht="15.75" customHeight="1" x14ac:dyDescent="0.25">
      <c r="A17" s="10">
        <v>13</v>
      </c>
      <c r="B17" s="10" t="s">
        <v>91</v>
      </c>
      <c r="C17" s="11" t="s">
        <v>79</v>
      </c>
      <c r="D17" s="12"/>
      <c r="E17" s="13">
        <v>5</v>
      </c>
      <c r="F17" s="14" t="str">
        <f t="shared" si="0"/>
        <v>C</v>
      </c>
      <c r="G17" s="13">
        <v>5</v>
      </c>
      <c r="H17" s="14" t="str">
        <f t="shared" si="1"/>
        <v>C</v>
      </c>
      <c r="I17" s="13">
        <v>5</v>
      </c>
      <c r="J17" s="14" t="str">
        <f t="shared" si="2"/>
        <v>C</v>
      </c>
      <c r="K17" s="13">
        <v>5</v>
      </c>
      <c r="L17" s="14" t="str">
        <f t="shared" si="3"/>
        <v>C</v>
      </c>
      <c r="M17" s="13">
        <v>5</v>
      </c>
      <c r="N17" s="14" t="str">
        <f t="shared" si="4"/>
        <v>B</v>
      </c>
      <c r="O17" s="14">
        <f t="shared" si="5"/>
        <v>25</v>
      </c>
      <c r="P17" s="15">
        <f t="shared" si="6"/>
        <v>0.29411764705882354</v>
      </c>
      <c r="Q17" s="14" t="str">
        <f t="shared" si="7"/>
        <v>C</v>
      </c>
      <c r="R17" s="16"/>
    </row>
    <row r="18" spans="1:18" ht="15.75" customHeight="1" x14ac:dyDescent="0.25">
      <c r="A18" s="10">
        <v>14</v>
      </c>
      <c r="B18" s="10" t="s">
        <v>91</v>
      </c>
      <c r="C18" s="11" t="s">
        <v>80</v>
      </c>
      <c r="D18" s="12"/>
      <c r="E18" s="13">
        <v>5</v>
      </c>
      <c r="F18" s="14" t="str">
        <f t="shared" si="0"/>
        <v>C</v>
      </c>
      <c r="G18" s="13">
        <v>5</v>
      </c>
      <c r="H18" s="14" t="str">
        <f t="shared" si="1"/>
        <v>C</v>
      </c>
      <c r="I18" s="13">
        <v>5</v>
      </c>
      <c r="J18" s="14" t="str">
        <f t="shared" si="2"/>
        <v>C</v>
      </c>
      <c r="K18" s="13">
        <v>5</v>
      </c>
      <c r="L18" s="14" t="str">
        <f t="shared" si="3"/>
        <v>C</v>
      </c>
      <c r="M18" s="13">
        <v>5</v>
      </c>
      <c r="N18" s="14" t="str">
        <f t="shared" si="4"/>
        <v>B</v>
      </c>
      <c r="O18" s="14">
        <f t="shared" si="5"/>
        <v>25</v>
      </c>
      <c r="P18" s="15">
        <f t="shared" si="6"/>
        <v>0.29411764705882354</v>
      </c>
      <c r="Q18" s="14" t="str">
        <f t="shared" si="7"/>
        <v>C</v>
      </c>
      <c r="R18" s="16"/>
    </row>
    <row r="19" spans="1:18" ht="15.75" customHeight="1" x14ac:dyDescent="0.25">
      <c r="A19" s="10">
        <v>15</v>
      </c>
      <c r="B19" s="10" t="s">
        <v>91</v>
      </c>
      <c r="C19" s="11" t="s">
        <v>81</v>
      </c>
      <c r="D19" s="12"/>
      <c r="E19" s="13">
        <v>5</v>
      </c>
      <c r="F19" s="14" t="str">
        <f t="shared" si="0"/>
        <v>C</v>
      </c>
      <c r="G19" s="13">
        <v>5</v>
      </c>
      <c r="H19" s="14" t="str">
        <f t="shared" si="1"/>
        <v>C</v>
      </c>
      <c r="I19" s="13">
        <v>5</v>
      </c>
      <c r="J19" s="14" t="str">
        <f t="shared" si="2"/>
        <v>C</v>
      </c>
      <c r="K19" s="13">
        <v>5</v>
      </c>
      <c r="L19" s="14" t="str">
        <f t="shared" si="3"/>
        <v>C</v>
      </c>
      <c r="M19" s="13">
        <v>5</v>
      </c>
      <c r="N19" s="14" t="str">
        <f t="shared" si="4"/>
        <v>B</v>
      </c>
      <c r="O19" s="14">
        <f t="shared" si="5"/>
        <v>25</v>
      </c>
      <c r="P19" s="15">
        <f t="shared" si="6"/>
        <v>0.29411764705882354</v>
      </c>
      <c r="Q19" s="14" t="str">
        <f t="shared" si="7"/>
        <v>C</v>
      </c>
      <c r="R19" s="16"/>
    </row>
    <row r="20" spans="1:18" ht="15.75" customHeight="1" x14ac:dyDescent="0.25">
      <c r="A20" s="10">
        <v>16</v>
      </c>
      <c r="B20" s="10" t="s">
        <v>91</v>
      </c>
      <c r="C20" s="11" t="s">
        <v>82</v>
      </c>
      <c r="D20" s="12"/>
      <c r="E20" s="13"/>
      <c r="F20" s="14" t="str">
        <f t="shared" si="0"/>
        <v/>
      </c>
      <c r="G20" s="13"/>
      <c r="H20" s="14" t="str">
        <f t="shared" si="1"/>
        <v/>
      </c>
      <c r="I20" s="13"/>
      <c r="J20" s="14" t="str">
        <f t="shared" si="2"/>
        <v/>
      </c>
      <c r="K20" s="13"/>
      <c r="L20" s="14" t="str">
        <f t="shared" si="3"/>
        <v/>
      </c>
      <c r="M20" s="13"/>
      <c r="N20" s="14" t="str">
        <f t="shared" si="4"/>
        <v/>
      </c>
      <c r="O20" s="14" t="str">
        <f t="shared" si="5"/>
        <v/>
      </c>
      <c r="P20" s="15" t="str">
        <f t="shared" si="6"/>
        <v/>
      </c>
      <c r="Q20" s="14" t="str">
        <f t="shared" si="7"/>
        <v/>
      </c>
      <c r="R20" s="16"/>
    </row>
    <row r="21" spans="1:18" ht="15.75" customHeight="1" x14ac:dyDescent="0.25">
      <c r="A21" s="10">
        <v>17</v>
      </c>
      <c r="B21" s="10"/>
      <c r="C21" s="11"/>
      <c r="D21" s="12"/>
      <c r="E21" s="13"/>
      <c r="F21" s="14" t="str">
        <f t="shared" si="0"/>
        <v/>
      </c>
      <c r="G21" s="13"/>
      <c r="H21" s="14" t="str">
        <f t="shared" si="1"/>
        <v/>
      </c>
      <c r="I21" s="13"/>
      <c r="J21" s="14">
        <v>15</v>
      </c>
      <c r="K21" s="13"/>
      <c r="L21" s="14" t="str">
        <f t="shared" si="3"/>
        <v/>
      </c>
      <c r="M21" s="13"/>
      <c r="N21" s="14" t="str">
        <f t="shared" si="4"/>
        <v/>
      </c>
      <c r="O21" s="14" t="str">
        <f t="shared" si="5"/>
        <v/>
      </c>
      <c r="P21" s="15" t="str">
        <f t="shared" si="6"/>
        <v/>
      </c>
      <c r="Q21" s="14" t="str">
        <f t="shared" si="7"/>
        <v/>
      </c>
      <c r="R21" s="16"/>
    </row>
    <row r="22" spans="1:18" ht="15.75" customHeight="1" x14ac:dyDescent="0.25">
      <c r="A22" s="10">
        <v>18</v>
      </c>
      <c r="B22" s="10"/>
      <c r="C22" s="11"/>
      <c r="D22" s="12"/>
      <c r="E22" s="13"/>
      <c r="F22" s="14" t="str">
        <f t="shared" si="0"/>
        <v/>
      </c>
      <c r="G22" s="13"/>
      <c r="H22" s="14" t="str">
        <f t="shared" si="1"/>
        <v/>
      </c>
      <c r="I22" s="13"/>
      <c r="J22" s="14" t="str">
        <f t="shared" si="2"/>
        <v/>
      </c>
      <c r="K22" s="13"/>
      <c r="L22" s="14" t="str">
        <f t="shared" si="3"/>
        <v/>
      </c>
      <c r="M22" s="13"/>
      <c r="N22" s="14" t="str">
        <f t="shared" si="4"/>
        <v/>
      </c>
      <c r="O22" s="14" t="str">
        <f t="shared" si="5"/>
        <v/>
      </c>
      <c r="P22" s="15" t="str">
        <f t="shared" si="6"/>
        <v/>
      </c>
      <c r="Q22" s="14" t="str">
        <f t="shared" si="7"/>
        <v/>
      </c>
      <c r="R22" s="16"/>
    </row>
    <row r="23" spans="1:18" ht="15.75" customHeight="1" x14ac:dyDescent="0.25">
      <c r="A23" s="10">
        <v>19</v>
      </c>
      <c r="B23" s="10" t="s">
        <v>92</v>
      </c>
      <c r="C23" s="11" t="s">
        <v>83</v>
      </c>
      <c r="D23" s="12"/>
      <c r="E23" s="13">
        <v>15</v>
      </c>
      <c r="F23" s="14" t="str">
        <f t="shared" si="0"/>
        <v>AD</v>
      </c>
      <c r="G23" s="13">
        <v>5</v>
      </c>
      <c r="H23" s="14" t="str">
        <f t="shared" si="1"/>
        <v>C</v>
      </c>
      <c r="I23" s="13">
        <v>10</v>
      </c>
      <c r="J23" s="14" t="str">
        <f t="shared" si="2"/>
        <v>B</v>
      </c>
      <c r="K23" s="13">
        <v>15</v>
      </c>
      <c r="L23" s="14" t="str">
        <f t="shared" si="3"/>
        <v>A</v>
      </c>
      <c r="M23" s="13">
        <v>6</v>
      </c>
      <c r="N23" s="14" t="str">
        <f t="shared" si="4"/>
        <v>B</v>
      </c>
      <c r="O23" s="14">
        <f t="shared" si="5"/>
        <v>51</v>
      </c>
      <c r="P23" s="15">
        <f t="shared" si="6"/>
        <v>0.6</v>
      </c>
      <c r="Q23" s="14" t="str">
        <f t="shared" si="7"/>
        <v>B</v>
      </c>
      <c r="R23" s="16"/>
    </row>
    <row r="24" spans="1:18" ht="15.75" customHeight="1" x14ac:dyDescent="0.25">
      <c r="A24" s="10">
        <v>20</v>
      </c>
      <c r="B24" s="10" t="s">
        <v>92</v>
      </c>
      <c r="C24" s="11" t="s">
        <v>84</v>
      </c>
      <c r="D24" s="12"/>
      <c r="E24" s="13">
        <v>15</v>
      </c>
      <c r="F24" s="14" t="str">
        <f t="shared" si="0"/>
        <v>AD</v>
      </c>
      <c r="G24" s="13">
        <v>15</v>
      </c>
      <c r="H24" s="14" t="str">
        <f t="shared" si="1"/>
        <v>A</v>
      </c>
      <c r="I24" s="13">
        <v>18</v>
      </c>
      <c r="J24" s="14" t="str">
        <f t="shared" si="2"/>
        <v>AD</v>
      </c>
      <c r="K24" s="13">
        <v>15</v>
      </c>
      <c r="L24" s="14" t="str">
        <f t="shared" si="3"/>
        <v>A</v>
      </c>
      <c r="M24" s="13">
        <v>8</v>
      </c>
      <c r="N24" s="14" t="str">
        <f t="shared" si="4"/>
        <v>A</v>
      </c>
      <c r="O24" s="14">
        <f t="shared" si="5"/>
        <v>71</v>
      </c>
      <c r="P24" s="15">
        <f t="shared" si="6"/>
        <v>0.83529411764705885</v>
      </c>
      <c r="Q24" s="14" t="str">
        <f t="shared" si="7"/>
        <v>A</v>
      </c>
      <c r="R24" s="16"/>
    </row>
    <row r="25" spans="1:18" ht="15.75" customHeight="1" x14ac:dyDescent="0.25">
      <c r="A25" s="10">
        <v>21</v>
      </c>
      <c r="B25" s="10" t="s">
        <v>92</v>
      </c>
      <c r="C25" s="11" t="s">
        <v>85</v>
      </c>
      <c r="D25" s="12"/>
      <c r="E25" s="13">
        <v>15</v>
      </c>
      <c r="F25" s="14" t="str">
        <f t="shared" si="0"/>
        <v>AD</v>
      </c>
      <c r="G25" s="13">
        <v>15</v>
      </c>
      <c r="H25" s="14" t="str">
        <f t="shared" si="1"/>
        <v>A</v>
      </c>
      <c r="I25" s="13">
        <v>15</v>
      </c>
      <c r="J25" s="14" t="str">
        <f t="shared" si="2"/>
        <v>A</v>
      </c>
      <c r="K25" s="13">
        <v>15</v>
      </c>
      <c r="L25" s="14" t="str">
        <f t="shared" si="3"/>
        <v>A</v>
      </c>
      <c r="M25" s="13">
        <v>8</v>
      </c>
      <c r="N25" s="14" t="str">
        <f t="shared" si="4"/>
        <v>A</v>
      </c>
      <c r="O25" s="14">
        <f t="shared" si="5"/>
        <v>68</v>
      </c>
      <c r="P25" s="15">
        <f t="shared" si="6"/>
        <v>0.8</v>
      </c>
      <c r="Q25" s="14" t="str">
        <f t="shared" si="7"/>
        <v>A</v>
      </c>
      <c r="R25" s="16"/>
    </row>
    <row r="26" spans="1:18" ht="15.75" customHeight="1" x14ac:dyDescent="0.25">
      <c r="A26" s="10">
        <v>22</v>
      </c>
      <c r="B26" s="10" t="s">
        <v>92</v>
      </c>
      <c r="C26" s="11" t="s">
        <v>86</v>
      </c>
      <c r="D26" s="12"/>
      <c r="E26" s="13">
        <v>15</v>
      </c>
      <c r="F26" s="14" t="str">
        <f t="shared" si="0"/>
        <v>AD</v>
      </c>
      <c r="G26" s="13">
        <v>15</v>
      </c>
      <c r="H26" s="14" t="str">
        <f t="shared" si="1"/>
        <v>A</v>
      </c>
      <c r="I26" s="13">
        <v>15</v>
      </c>
      <c r="J26" s="14" t="str">
        <f t="shared" si="2"/>
        <v>A</v>
      </c>
      <c r="K26" s="13">
        <v>15</v>
      </c>
      <c r="L26" s="14" t="str">
        <f t="shared" si="3"/>
        <v>A</v>
      </c>
      <c r="M26" s="13">
        <v>8</v>
      </c>
      <c r="N26" s="14" t="str">
        <f t="shared" si="4"/>
        <v>A</v>
      </c>
      <c r="O26" s="14">
        <f t="shared" si="5"/>
        <v>68</v>
      </c>
      <c r="P26" s="15">
        <f t="shared" si="6"/>
        <v>0.8</v>
      </c>
      <c r="Q26" s="14" t="str">
        <f t="shared" si="7"/>
        <v>A</v>
      </c>
      <c r="R26" s="16"/>
    </row>
    <row r="27" spans="1:18" ht="15.75" customHeight="1" x14ac:dyDescent="0.25">
      <c r="A27" s="10">
        <v>23</v>
      </c>
      <c r="B27" s="10" t="s">
        <v>92</v>
      </c>
      <c r="C27" s="11" t="s">
        <v>87</v>
      </c>
      <c r="D27" s="12"/>
      <c r="E27" s="13">
        <v>15</v>
      </c>
      <c r="F27" s="14" t="str">
        <f t="shared" si="0"/>
        <v>AD</v>
      </c>
      <c r="G27" s="13">
        <v>15</v>
      </c>
      <c r="H27" s="14" t="str">
        <f t="shared" si="1"/>
        <v>A</v>
      </c>
      <c r="I27" s="13">
        <v>15</v>
      </c>
      <c r="J27" s="14" t="str">
        <f t="shared" si="2"/>
        <v>A</v>
      </c>
      <c r="K27" s="13">
        <v>15</v>
      </c>
      <c r="L27" s="14" t="str">
        <f t="shared" si="3"/>
        <v>A</v>
      </c>
      <c r="M27" s="13">
        <v>0</v>
      </c>
      <c r="N27" s="14" t="str">
        <f t="shared" si="4"/>
        <v>C</v>
      </c>
      <c r="O27" s="14">
        <f t="shared" si="5"/>
        <v>60</v>
      </c>
      <c r="P27" s="15">
        <f t="shared" si="6"/>
        <v>0.70588235294117652</v>
      </c>
      <c r="Q27" s="14" t="str">
        <f t="shared" si="7"/>
        <v>A</v>
      </c>
      <c r="R27" s="16"/>
    </row>
    <row r="28" spans="1:18" ht="15.75" customHeight="1" x14ac:dyDescent="0.25">
      <c r="A28" s="10">
        <v>24</v>
      </c>
      <c r="B28" s="10" t="s">
        <v>92</v>
      </c>
      <c r="C28" s="11" t="s">
        <v>88</v>
      </c>
      <c r="D28" s="12"/>
      <c r="E28" s="13">
        <v>15</v>
      </c>
      <c r="F28" s="14" t="str">
        <f t="shared" si="0"/>
        <v>AD</v>
      </c>
      <c r="G28" s="13">
        <v>15</v>
      </c>
      <c r="H28" s="14" t="str">
        <f t="shared" si="1"/>
        <v>A</v>
      </c>
      <c r="I28" s="13">
        <v>15</v>
      </c>
      <c r="J28" s="14" t="str">
        <f t="shared" si="2"/>
        <v>A</v>
      </c>
      <c r="K28" s="13">
        <v>15</v>
      </c>
      <c r="L28" s="14" t="str">
        <f t="shared" si="3"/>
        <v>A</v>
      </c>
      <c r="M28" s="13">
        <v>0</v>
      </c>
      <c r="N28" s="14" t="str">
        <f t="shared" si="4"/>
        <v>C</v>
      </c>
      <c r="O28" s="14">
        <f t="shared" si="5"/>
        <v>60</v>
      </c>
      <c r="P28" s="15">
        <f t="shared" si="6"/>
        <v>0.70588235294117652</v>
      </c>
      <c r="Q28" s="14" t="str">
        <f t="shared" si="7"/>
        <v>A</v>
      </c>
      <c r="R28" s="16"/>
    </row>
    <row r="29" spans="1:18" ht="15.75" customHeight="1" x14ac:dyDescent="0.25">
      <c r="A29" s="10">
        <v>25</v>
      </c>
      <c r="B29" s="10"/>
      <c r="C29" s="11"/>
      <c r="D29" s="12"/>
      <c r="E29" s="13"/>
      <c r="F29" s="14" t="str">
        <f t="shared" si="0"/>
        <v/>
      </c>
      <c r="G29" s="13"/>
      <c r="H29" s="14" t="str">
        <f t="shared" si="1"/>
        <v/>
      </c>
      <c r="I29" s="13"/>
      <c r="J29" s="14" t="str">
        <f t="shared" si="2"/>
        <v/>
      </c>
      <c r="K29" s="13"/>
      <c r="L29" s="14" t="str">
        <f t="shared" si="3"/>
        <v/>
      </c>
      <c r="M29" s="13"/>
      <c r="N29" s="14" t="str">
        <f t="shared" si="4"/>
        <v/>
      </c>
      <c r="O29" s="14" t="str">
        <f t="shared" si="5"/>
        <v/>
      </c>
      <c r="P29" s="15" t="str">
        <f t="shared" si="6"/>
        <v/>
      </c>
      <c r="Q29" s="14" t="str">
        <f t="shared" si="7"/>
        <v/>
      </c>
      <c r="R29" s="16"/>
    </row>
    <row r="30" spans="1:18" ht="15.75" customHeight="1" x14ac:dyDescent="0.25">
      <c r="A30" s="10">
        <v>26</v>
      </c>
      <c r="B30" s="10"/>
      <c r="C30" s="11"/>
      <c r="D30" s="12"/>
      <c r="E30" s="13"/>
      <c r="F30" s="14" t="str">
        <f t="shared" si="0"/>
        <v/>
      </c>
      <c r="G30" s="13"/>
      <c r="H30" s="14" t="str">
        <f t="shared" si="1"/>
        <v/>
      </c>
      <c r="I30" s="13"/>
      <c r="J30" s="14" t="str">
        <f t="shared" si="2"/>
        <v/>
      </c>
      <c r="K30" s="13"/>
      <c r="L30" s="14" t="str">
        <f t="shared" si="3"/>
        <v/>
      </c>
      <c r="M30" s="13"/>
      <c r="N30" s="14" t="str">
        <f t="shared" si="4"/>
        <v/>
      </c>
      <c r="O30" s="14" t="str">
        <f t="shared" si="5"/>
        <v/>
      </c>
      <c r="P30" s="15" t="str">
        <f t="shared" si="6"/>
        <v/>
      </c>
      <c r="Q30" s="14" t="str">
        <f t="shared" si="7"/>
        <v/>
      </c>
      <c r="R30" s="16"/>
    </row>
    <row r="31" spans="1:18" ht="15.75" customHeight="1" x14ac:dyDescent="0.25">
      <c r="A31" s="10">
        <v>27</v>
      </c>
      <c r="B31" s="10"/>
      <c r="C31" s="11"/>
      <c r="D31" s="12"/>
      <c r="E31" s="13"/>
      <c r="F31" s="14" t="str">
        <f t="shared" si="0"/>
        <v/>
      </c>
      <c r="G31" s="13"/>
      <c r="H31" s="14" t="str">
        <f t="shared" si="1"/>
        <v/>
      </c>
      <c r="I31" s="13"/>
      <c r="J31" s="14" t="str">
        <f t="shared" si="2"/>
        <v/>
      </c>
      <c r="K31" s="13"/>
      <c r="L31" s="14" t="str">
        <f t="shared" si="3"/>
        <v/>
      </c>
      <c r="M31" s="13"/>
      <c r="N31" s="14" t="str">
        <f t="shared" si="4"/>
        <v/>
      </c>
      <c r="O31" s="14" t="str">
        <f t="shared" si="5"/>
        <v/>
      </c>
      <c r="P31" s="15" t="str">
        <f t="shared" si="6"/>
        <v/>
      </c>
      <c r="Q31" s="14" t="str">
        <f t="shared" si="7"/>
        <v/>
      </c>
      <c r="R31" s="16"/>
    </row>
    <row r="32" spans="1:18" ht="15.75" customHeight="1" x14ac:dyDescent="0.25">
      <c r="A32" s="10">
        <v>28</v>
      </c>
      <c r="B32" s="10"/>
      <c r="C32" s="11"/>
      <c r="D32" s="12"/>
      <c r="E32" s="13"/>
      <c r="F32" s="14" t="str">
        <f t="shared" si="0"/>
        <v/>
      </c>
      <c r="G32" s="13"/>
      <c r="H32" s="14" t="str">
        <f t="shared" si="1"/>
        <v/>
      </c>
      <c r="I32" s="13"/>
      <c r="J32" s="14" t="str">
        <f t="shared" si="2"/>
        <v/>
      </c>
      <c r="K32" s="13"/>
      <c r="L32" s="14" t="str">
        <f t="shared" si="3"/>
        <v/>
      </c>
      <c r="M32" s="13"/>
      <c r="N32" s="14" t="str">
        <f t="shared" si="4"/>
        <v/>
      </c>
      <c r="O32" s="14" t="str">
        <f t="shared" si="5"/>
        <v/>
      </c>
      <c r="P32" s="15" t="str">
        <f t="shared" si="6"/>
        <v/>
      </c>
      <c r="Q32" s="14" t="str">
        <f t="shared" si="7"/>
        <v/>
      </c>
      <c r="R32" s="16"/>
    </row>
    <row r="33" spans="1:18" ht="15.75" customHeight="1" x14ac:dyDescent="0.25">
      <c r="A33" s="10">
        <v>29</v>
      </c>
      <c r="B33" s="10"/>
      <c r="C33" s="11"/>
      <c r="D33" s="12"/>
      <c r="E33" s="13"/>
      <c r="F33" s="14" t="str">
        <f t="shared" si="0"/>
        <v/>
      </c>
      <c r="G33" s="13"/>
      <c r="H33" s="14" t="str">
        <f t="shared" si="1"/>
        <v/>
      </c>
      <c r="I33" s="13"/>
      <c r="J33" s="14" t="str">
        <f t="shared" si="2"/>
        <v/>
      </c>
      <c r="K33" s="13"/>
      <c r="L33" s="14" t="str">
        <f t="shared" si="3"/>
        <v/>
      </c>
      <c r="M33" s="13"/>
      <c r="N33" s="14" t="str">
        <f t="shared" si="4"/>
        <v/>
      </c>
      <c r="O33" s="14" t="str">
        <f t="shared" si="5"/>
        <v/>
      </c>
      <c r="P33" s="15" t="str">
        <f t="shared" si="6"/>
        <v/>
      </c>
      <c r="Q33" s="14" t="str">
        <f t="shared" si="7"/>
        <v/>
      </c>
      <c r="R33" s="16"/>
    </row>
    <row r="34" spans="1:18" ht="15.75" customHeight="1" x14ac:dyDescent="0.25">
      <c r="A34" s="10">
        <v>30</v>
      </c>
      <c r="B34" s="10"/>
      <c r="C34" s="11"/>
      <c r="D34" s="12"/>
      <c r="E34" s="13"/>
      <c r="F34" s="14" t="str">
        <f t="shared" si="0"/>
        <v/>
      </c>
      <c r="G34" s="13"/>
      <c r="H34" s="14" t="str">
        <f t="shared" si="1"/>
        <v/>
      </c>
      <c r="I34" s="13"/>
      <c r="J34" s="14" t="str">
        <f t="shared" si="2"/>
        <v/>
      </c>
      <c r="K34" s="13"/>
      <c r="L34" s="14" t="str">
        <f t="shared" si="3"/>
        <v/>
      </c>
      <c r="M34" s="13"/>
      <c r="N34" s="14" t="str">
        <f t="shared" si="4"/>
        <v/>
      </c>
      <c r="O34" s="14" t="str">
        <f t="shared" si="5"/>
        <v/>
      </c>
      <c r="P34" s="15" t="str">
        <f t="shared" si="6"/>
        <v/>
      </c>
      <c r="Q34" s="14" t="str">
        <f t="shared" si="7"/>
        <v/>
      </c>
      <c r="R34" s="16"/>
    </row>
    <row r="36" spans="1:18" ht="60" customHeight="1" x14ac:dyDescent="0.25">
      <c r="A36" s="21" t="s">
        <v>18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</sheetData>
  <mergeCells count="14">
    <mergeCell ref="A36:R36"/>
    <mergeCell ref="A1:R1"/>
    <mergeCell ref="A2:A3"/>
    <mergeCell ref="C2:C3"/>
    <mergeCell ref="D2:D3"/>
    <mergeCell ref="E2:F2"/>
    <mergeCell ref="G2:H2"/>
    <mergeCell ref="I2:J2"/>
    <mergeCell ref="K2:L2"/>
    <mergeCell ref="M2:N2"/>
    <mergeCell ref="O2:O3"/>
    <mergeCell ref="P2:P3"/>
    <mergeCell ref="Q2:Q3"/>
    <mergeCell ref="R2:R3"/>
  </mergeCells>
  <conditionalFormatting sqref="F4:F34">
    <cfRule type="cellIs" dxfId="23" priority="2" operator="equal">
      <formula>"AD"</formula>
    </cfRule>
    <cfRule type="cellIs" dxfId="22" priority="3" operator="equal">
      <formula>"A"</formula>
    </cfRule>
    <cfRule type="cellIs" dxfId="21" priority="4" operator="equal">
      <formula>"B"</formula>
    </cfRule>
    <cfRule type="cellIs" dxfId="20" priority="5" operator="equal">
      <formula>"C"</formula>
    </cfRule>
  </conditionalFormatting>
  <conditionalFormatting sqref="H4:H34">
    <cfRule type="cellIs" dxfId="19" priority="6" operator="equal">
      <formula>"AD"</formula>
    </cfRule>
    <cfRule type="cellIs" dxfId="18" priority="7" operator="equal">
      <formula>"A"</formula>
    </cfRule>
    <cfRule type="cellIs" dxfId="17" priority="8" operator="equal">
      <formula>"B"</formula>
    </cfRule>
    <cfRule type="cellIs" dxfId="16" priority="9" operator="equal">
      <formula>"C"</formula>
    </cfRule>
  </conditionalFormatting>
  <conditionalFormatting sqref="J4:J34">
    <cfRule type="cellIs" dxfId="15" priority="10" operator="equal">
      <formula>"AD"</formula>
    </cfRule>
    <cfRule type="cellIs" dxfId="14" priority="11" operator="equal">
      <formula>"A"</formula>
    </cfRule>
    <cfRule type="cellIs" dxfId="13" priority="12" operator="equal">
      <formula>"B"</formula>
    </cfRule>
    <cfRule type="cellIs" dxfId="12" priority="13" operator="equal">
      <formula>"C"</formula>
    </cfRule>
  </conditionalFormatting>
  <conditionalFormatting sqref="L4:L34">
    <cfRule type="cellIs" dxfId="11" priority="14" operator="equal">
      <formula>"AD"</formula>
    </cfRule>
    <cfRule type="cellIs" dxfId="10" priority="15" operator="equal">
      <formula>"A"</formula>
    </cfRule>
    <cfRule type="cellIs" dxfId="9" priority="16" operator="equal">
      <formula>"B"</formula>
    </cfRule>
    <cfRule type="cellIs" dxfId="8" priority="17" operator="equal">
      <formula>"C"</formula>
    </cfRule>
  </conditionalFormatting>
  <conditionalFormatting sqref="N4:N34">
    <cfRule type="cellIs" dxfId="7" priority="18" operator="equal">
      <formula>"AD"</formula>
    </cfRule>
    <cfRule type="cellIs" dxfId="6" priority="19" operator="equal">
      <formula>"A"</formula>
    </cfRule>
    <cfRule type="cellIs" dxfId="5" priority="20" operator="equal">
      <formula>"B"</formula>
    </cfRule>
    <cfRule type="cellIs" dxfId="4" priority="21" operator="equal">
      <formula>"C"</formula>
    </cfRule>
  </conditionalFormatting>
  <conditionalFormatting sqref="Q4:Q34">
    <cfRule type="cellIs" dxfId="3" priority="22" operator="equal">
      <formula>"AD"</formula>
    </cfRule>
    <cfRule type="cellIs" dxfId="2" priority="23" operator="equal">
      <formula>"A"</formula>
    </cfRule>
    <cfRule type="cellIs" dxfId="1" priority="24" operator="equal">
      <formula>"B"</formula>
    </cfRule>
    <cfRule type="cellIs" dxfId="0" priority="25" operator="equal">
      <formula>"C"</formula>
    </cfRule>
  </conditionalFormatting>
  <dataValidations count="3">
    <dataValidation type="whole" allowBlank="1" showErrorMessage="1" errorTitle="Puntos fuera de rango" error="Ingresa un valor entre 0 y 15 para este criterio." sqref="E4:E34" xr:uid="{00000000-0002-0000-0000-000000000000}">
      <formula1>0</formula1>
      <formula2>15</formula2>
    </dataValidation>
    <dataValidation type="whole" allowBlank="1" showErrorMessage="1" errorTitle="Puntos fuera de rango" error="Ingresa un valor entre 0 y 20 para este criterio." sqref="G4:G34 I4:I34 K4:K34" xr:uid="{00000000-0002-0000-0000-000001000000}">
      <formula1>0</formula1>
      <formula2>20</formula2>
    </dataValidation>
    <dataValidation type="whole" allowBlank="1" showErrorMessage="1" errorTitle="Puntos fuera de rango" error="Ingresa un valor entre 0 y 10 para este criterio." sqref="M4:M34" xr:uid="{00000000-0002-0000-0000-000002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30" customWidth="1"/>
    <col min="2" max="2" width="11" customWidth="1"/>
    <col min="3" max="3" width="8" customWidth="1"/>
    <col min="4" max="4" width="14" customWidth="1"/>
    <col min="5" max="5" width="80" customWidth="1"/>
  </cols>
  <sheetData>
    <row r="1" spans="1:5" ht="27.75" customHeight="1" x14ac:dyDescent="0.25">
      <c r="A1" s="22" t="s">
        <v>19</v>
      </c>
      <c r="B1" s="22"/>
      <c r="C1" s="22"/>
      <c r="D1" s="22"/>
      <c r="E1" s="22"/>
    </row>
    <row r="2" spans="1:5" ht="18" customHeight="1" x14ac:dyDescent="0.25">
      <c r="A2" s="26" t="s">
        <v>20</v>
      </c>
      <c r="B2" s="26"/>
      <c r="C2" s="26"/>
      <c r="D2" s="26"/>
      <c r="E2" s="26"/>
    </row>
    <row r="4" spans="1:5" ht="19.5" customHeight="1" x14ac:dyDescent="0.25">
      <c r="A4" s="2" t="s">
        <v>21</v>
      </c>
      <c r="B4" s="2" t="s">
        <v>22</v>
      </c>
      <c r="C4" s="2" t="s">
        <v>14</v>
      </c>
      <c r="D4" s="2" t="s">
        <v>23</v>
      </c>
      <c r="E4" s="2" t="s">
        <v>24</v>
      </c>
    </row>
    <row r="5" spans="1:5" ht="60" customHeight="1" x14ac:dyDescent="0.25">
      <c r="A5" s="24" t="s">
        <v>25</v>
      </c>
      <c r="B5" s="25">
        <v>15</v>
      </c>
      <c r="C5" s="17" t="s">
        <v>26</v>
      </c>
      <c r="D5" s="10" t="s">
        <v>27</v>
      </c>
      <c r="E5" s="1" t="s">
        <v>28</v>
      </c>
    </row>
    <row r="6" spans="1:5" ht="60" customHeight="1" x14ac:dyDescent="0.25">
      <c r="A6" s="24"/>
      <c r="B6" s="24"/>
      <c r="C6" s="18" t="s">
        <v>29</v>
      </c>
      <c r="D6" s="10" t="s">
        <v>30</v>
      </c>
      <c r="E6" s="1" t="s">
        <v>31</v>
      </c>
    </row>
    <row r="7" spans="1:5" ht="60" customHeight="1" x14ac:dyDescent="0.25">
      <c r="A7" s="24"/>
      <c r="B7" s="24"/>
      <c r="C7" s="19" t="s">
        <v>32</v>
      </c>
      <c r="D7" s="10" t="s">
        <v>33</v>
      </c>
      <c r="E7" s="1" t="s">
        <v>34</v>
      </c>
    </row>
    <row r="8" spans="1:5" ht="60" customHeight="1" x14ac:dyDescent="0.25">
      <c r="A8" s="24"/>
      <c r="B8" s="24"/>
      <c r="C8" s="20" t="s">
        <v>35</v>
      </c>
      <c r="D8" s="10" t="s">
        <v>36</v>
      </c>
      <c r="E8" s="1" t="s">
        <v>37</v>
      </c>
    </row>
    <row r="9" spans="1:5" ht="60" customHeight="1" x14ac:dyDescent="0.25">
      <c r="A9" s="24" t="s">
        <v>38</v>
      </c>
      <c r="B9" s="25">
        <v>20</v>
      </c>
      <c r="C9" s="17" t="s">
        <v>26</v>
      </c>
      <c r="D9" s="10" t="s">
        <v>39</v>
      </c>
      <c r="E9" s="1" t="s">
        <v>40</v>
      </c>
    </row>
    <row r="10" spans="1:5" ht="60" customHeight="1" x14ac:dyDescent="0.25">
      <c r="A10" s="24"/>
      <c r="B10" s="24"/>
      <c r="C10" s="18" t="s">
        <v>29</v>
      </c>
      <c r="D10" s="10" t="s">
        <v>41</v>
      </c>
      <c r="E10" s="1" t="s">
        <v>42</v>
      </c>
    </row>
    <row r="11" spans="1:5" ht="60" customHeight="1" x14ac:dyDescent="0.25">
      <c r="A11" s="24"/>
      <c r="B11" s="24"/>
      <c r="C11" s="19" t="s">
        <v>32</v>
      </c>
      <c r="D11" s="10" t="s">
        <v>43</v>
      </c>
      <c r="E11" s="1" t="s">
        <v>44</v>
      </c>
    </row>
    <row r="12" spans="1:5" ht="60" customHeight="1" x14ac:dyDescent="0.25">
      <c r="A12" s="24"/>
      <c r="B12" s="24"/>
      <c r="C12" s="20" t="s">
        <v>35</v>
      </c>
      <c r="D12" s="10" t="s">
        <v>45</v>
      </c>
      <c r="E12" s="1" t="s">
        <v>46</v>
      </c>
    </row>
    <row r="13" spans="1:5" ht="60" customHeight="1" x14ac:dyDescent="0.25">
      <c r="A13" s="24" t="s">
        <v>47</v>
      </c>
      <c r="B13" s="25">
        <v>20</v>
      </c>
      <c r="C13" s="17" t="s">
        <v>26</v>
      </c>
      <c r="D13" s="10" t="s">
        <v>39</v>
      </c>
      <c r="E13" s="1" t="s">
        <v>48</v>
      </c>
    </row>
    <row r="14" spans="1:5" ht="60" customHeight="1" x14ac:dyDescent="0.25">
      <c r="A14" s="24"/>
      <c r="B14" s="24"/>
      <c r="C14" s="18" t="s">
        <v>29</v>
      </c>
      <c r="D14" s="10" t="s">
        <v>41</v>
      </c>
      <c r="E14" s="1" t="s">
        <v>49</v>
      </c>
    </row>
    <row r="15" spans="1:5" ht="60" customHeight="1" x14ac:dyDescent="0.25">
      <c r="A15" s="24"/>
      <c r="B15" s="24"/>
      <c r="C15" s="19" t="s">
        <v>32</v>
      </c>
      <c r="D15" s="10" t="s">
        <v>43</v>
      </c>
      <c r="E15" s="1" t="s">
        <v>50</v>
      </c>
    </row>
    <row r="16" spans="1:5" ht="60" customHeight="1" x14ac:dyDescent="0.25">
      <c r="A16" s="24"/>
      <c r="B16" s="24"/>
      <c r="C16" s="20" t="s">
        <v>35</v>
      </c>
      <c r="D16" s="10" t="s">
        <v>45</v>
      </c>
      <c r="E16" s="1" t="s">
        <v>51</v>
      </c>
    </row>
    <row r="17" spans="1:5" ht="60" customHeight="1" x14ac:dyDescent="0.25">
      <c r="A17" s="24" t="s">
        <v>52</v>
      </c>
      <c r="B17" s="25">
        <v>20</v>
      </c>
      <c r="C17" s="17" t="s">
        <v>26</v>
      </c>
      <c r="D17" s="10" t="s">
        <v>39</v>
      </c>
      <c r="E17" s="1" t="s">
        <v>53</v>
      </c>
    </row>
    <row r="18" spans="1:5" ht="60" customHeight="1" x14ac:dyDescent="0.25">
      <c r="A18" s="24"/>
      <c r="B18" s="24"/>
      <c r="C18" s="18" t="s">
        <v>29</v>
      </c>
      <c r="D18" s="10" t="s">
        <v>41</v>
      </c>
      <c r="E18" s="1" t="s">
        <v>54</v>
      </c>
    </row>
    <row r="19" spans="1:5" ht="60" customHeight="1" x14ac:dyDescent="0.25">
      <c r="A19" s="24"/>
      <c r="B19" s="24"/>
      <c r="C19" s="19" t="s">
        <v>32</v>
      </c>
      <c r="D19" s="10" t="s">
        <v>43</v>
      </c>
      <c r="E19" s="1" t="s">
        <v>55</v>
      </c>
    </row>
    <row r="20" spans="1:5" ht="60" customHeight="1" x14ac:dyDescent="0.25">
      <c r="A20" s="24"/>
      <c r="B20" s="24"/>
      <c r="C20" s="20" t="s">
        <v>35</v>
      </c>
      <c r="D20" s="10" t="s">
        <v>45</v>
      </c>
      <c r="E20" s="1" t="s">
        <v>56</v>
      </c>
    </row>
    <row r="21" spans="1:5" ht="60" customHeight="1" x14ac:dyDescent="0.25">
      <c r="A21" s="24" t="s">
        <v>57</v>
      </c>
      <c r="B21" s="25">
        <v>10</v>
      </c>
      <c r="C21" s="17" t="s">
        <v>26</v>
      </c>
      <c r="D21" s="10" t="s">
        <v>58</v>
      </c>
      <c r="E21" s="1" t="s">
        <v>59</v>
      </c>
    </row>
    <row r="22" spans="1:5" ht="60" customHeight="1" x14ac:dyDescent="0.25">
      <c r="A22" s="24"/>
      <c r="B22" s="24"/>
      <c r="C22" s="18" t="s">
        <v>29</v>
      </c>
      <c r="D22" s="10" t="s">
        <v>60</v>
      </c>
      <c r="E22" s="1" t="s">
        <v>61</v>
      </c>
    </row>
    <row r="23" spans="1:5" ht="60" customHeight="1" x14ac:dyDescent="0.25">
      <c r="A23" s="24"/>
      <c r="B23" s="24"/>
      <c r="C23" s="19" t="s">
        <v>32</v>
      </c>
      <c r="D23" s="10" t="s">
        <v>62</v>
      </c>
      <c r="E23" s="1" t="s">
        <v>63</v>
      </c>
    </row>
    <row r="24" spans="1:5" ht="60" customHeight="1" x14ac:dyDescent="0.25">
      <c r="A24" s="24"/>
      <c r="B24" s="24"/>
      <c r="C24" s="20" t="s">
        <v>35</v>
      </c>
      <c r="D24" s="10" t="s">
        <v>64</v>
      </c>
      <c r="E24" s="1" t="s">
        <v>65</v>
      </c>
    </row>
  </sheetData>
  <mergeCells count="12">
    <mergeCell ref="A1:E1"/>
    <mergeCell ref="A2:E2"/>
    <mergeCell ref="A5:A8"/>
    <mergeCell ref="B5:B8"/>
    <mergeCell ref="A9:A12"/>
    <mergeCell ref="B9:B12"/>
    <mergeCell ref="A13:A16"/>
    <mergeCell ref="B13:B16"/>
    <mergeCell ref="A17:A20"/>
    <mergeCell ref="B17:B20"/>
    <mergeCell ref="A21:A24"/>
    <mergeCell ref="B21:B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de Calificaciones</vt:lpstr>
      <vt:lpstr>Rubrica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Perez</cp:lastModifiedBy>
  <cp:revision>0</cp:revision>
  <dcterms:created xsi:type="dcterms:W3CDTF">2026-09-07T15:01:12Z</dcterms:created>
  <dcterms:modified xsi:type="dcterms:W3CDTF">2026-10-13T16:35:22Z</dcterms:modified>
  <dc:language>en-US</dc:language>
</cp:coreProperties>
</file>