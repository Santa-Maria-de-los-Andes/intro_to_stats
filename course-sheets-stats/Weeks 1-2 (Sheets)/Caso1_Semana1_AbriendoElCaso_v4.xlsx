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ee5653104616ccd2/JP DIGITAL VENTURES/SMA/SCRIPTS/SMA - Intro_Stats/course-sheets-stats/Weeks 1-2 (Sheets)/"/>
    </mc:Choice>
  </mc:AlternateContent>
  <xr:revisionPtr revIDLastSave="0" documentId="8_{C4358287-31A3-4ADC-A67F-6C5B76140E6B}" xr6:coauthVersionLast="47" xr6:coauthVersionMax="47" xr10:uidLastSave="{00000000-0000-0000-0000-000000000000}"/>
  <bookViews>
    <workbookView xWindow="-120" yWindow="-120" windowWidth="29040" windowHeight="15720" xr2:uid="{00000000-000D-0000-FFFF-FFFF00000000}"/>
  </bookViews>
  <sheets>
    <sheet name="🗂️ Configuración" sheetId="1" r:id="rId1"/>
    <sheet name="📁 Instrucciones" sheetId="2" r:id="rId2"/>
    <sheet name="🔎 Ejemplo Resuelto" sheetId="3" r:id="rId3"/>
    <sheet name="📊 Datos" sheetId="4" r:id="rId4"/>
    <sheet name="🧩 Tu Caso" sheetId="6" r:id="rId5"/>
    <sheet name="🔒 Clave"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6" l="1"/>
  <c r="B65" i="6"/>
  <c r="E64" i="6"/>
  <c r="B64" i="6"/>
  <c r="D61" i="6"/>
  <c r="E61" i="6" s="1"/>
  <c r="E56" i="6"/>
  <c r="D56" i="6"/>
  <c r="E55" i="6"/>
  <c r="D55" i="6"/>
  <c r="D54" i="6"/>
  <c r="E54" i="6" s="1"/>
  <c r="D53" i="6"/>
  <c r="D25" i="6"/>
  <c r="E25" i="6" s="1"/>
  <c r="D24" i="6"/>
  <c r="E24" i="6" s="1"/>
  <c r="D23" i="6"/>
  <c r="E23" i="6" s="1"/>
  <c r="D22" i="6"/>
  <c r="E22" i="6" s="1"/>
  <c r="D21" i="6"/>
  <c r="D11" i="6"/>
  <c r="E11" i="6" s="1"/>
  <c r="D10" i="6"/>
  <c r="E10" i="6" s="1"/>
  <c r="E9" i="6"/>
  <c r="D9" i="6"/>
  <c r="D8" i="6"/>
  <c r="E8" i="6" s="1"/>
  <c r="A4" i="6"/>
  <c r="A12" i="1"/>
  <c r="E65" i="6" l="1"/>
  <c r="E66" i="6"/>
  <c r="B67" i="6"/>
  <c r="G2" i="6" s="1"/>
</calcChain>
</file>

<file path=xl/sharedStrings.xml><?xml version="1.0" encoding="utf-8"?>
<sst xmlns="http://schemas.openxmlformats.org/spreadsheetml/2006/main" count="498" uniqueCount="221">
  <si>
    <t>🗂️ EXPEDIENTE DEL DETECTIVE — Datos del Agente</t>
  </si>
  <si>
    <t>Completa tus datos antes de empezar el caso. Esto identifica tu trabajo para tu profesor(a).</t>
  </si>
  <si>
    <t>Nombre completo</t>
  </si>
  <si>
    <t>DNI</t>
  </si>
  <si>
    <t>Grado y sección</t>
  </si>
  <si>
    <t>Curso</t>
  </si>
  <si>
    <t>Notebook</t>
  </si>
  <si>
    <t>sheets_caso1_semana1</t>
  </si>
  <si>
    <t>(Curso y Notebook son fijos — identifican este caso para la base de datos. No los edites.)</t>
  </si>
  <si>
    <t>🕵️ CASO N.º 1 — Abriendo el Caso — Semana 1</t>
  </si>
  <si>
    <t>"Dos tesoreros de la Kermés cuentan el mismo montón de boletos vendidos. Uno dice que se vendieron 68. El otro dice 60. Ninguno mintió, ninguno se equivocó al sumar. ¿Cómo es posible?"</t>
  </si>
  <si>
    <t>"Te acaba de llegar el primer caso de la Agencia. La evidencia está desordenada, con duplicados, ventas canceladas y espacios vacíos — antes de poder calcular nada con confianza, tu primer trabajo como detective es poner la evidencia en orden."</t>
  </si>
  <si>
    <t>"Al final de hoy vas a confiar en cuántos boletos se vendieron cada día. El total general te lo confirma la próxima sesión con una fórmula nueva."</t>
  </si>
  <si>
    <t>🪜 Los 4 pasos de esta sesión</t>
  </si>
  <si>
    <t>1. Revisar la evidencia — mirar el expediente crudo, tal como llegó (pestaña 📊 Datos).</t>
  </si>
  <si>
    <t>2. Limpiar el caso — arreglar duplicados, texto inconsistente y datos faltantes.</t>
  </si>
  <si>
    <t>3. Filtrar por día — aislar solo la evidencia de un día y leer el subtotal.</t>
  </si>
  <si>
    <t>4. Reto bonus — un desafío extra, sin fórmulas nuevas.</t>
  </si>
  <si>
    <t>🕹️ Cómo funciona esta hoja</t>
  </si>
  <si>
    <t>• Empieza en 🗂️ Configuración y escribe tu nombre, DNI y grado.</t>
  </si>
  <si>
    <t>• La pestaña 📊 Datos es tu expediente — ahí edita, borra filas y aplica filtros.</t>
  </si>
  <si>
    <t>• La pestaña 🧩 Tu Caso tiene las preguntas. Las celdas amarillas son donde escribes tu respuesta.</t>
  </si>
  <si>
    <t>• Muchas respuestas se revisan solas al instante: verás ✓ +XP apenas aciertes.</t>
  </si>
  <si>
    <t>• Algunas tareas (como dar formato) las revisa tu profesor(a) — ahí verás una casilla en vez de una respuesta.</t>
  </si>
  <si>
    <t>🗣️ Preguntas guía — para conversar en clase (no se califica)</t>
  </si>
  <si>
    <t>¿Cuántas filas hay en total? ¿Todas son ventas reales?</t>
  </si>
  <si>
    <t>Miren la fila de Milagros Guerra — ¿por qué no deberíamos contarla?</t>
  </si>
  <si>
    <t>Tomás Effio aparece dos veces con exactamente los mismos datos — ¿qué significa eso?</t>
  </si>
  <si>
    <t>La columna Día tiene 'Viernes', 'viernes' y 'VIERNES' — ¿son iguales para una computadora?</t>
  </si>
  <si>
    <t>Nadia Chumpitaz no tiene número de Boletos — ¿qué deberíamos hacer antes de asumir un valor?</t>
  </si>
  <si>
    <t>Si aplicamos un filtro para ver solo 'Sábado', ¿qué le pasa a las demás filas: desaparecen o solo se esconden?</t>
  </si>
  <si>
    <t>🗂️ Evidencia de ejemplo — El Bazar Escolar</t>
  </si>
  <si>
    <t>Comprador</t>
  </si>
  <si>
    <t>Boletos</t>
  </si>
  <si>
    <t>Día</t>
  </si>
  <si>
    <t>Estado</t>
  </si>
  <si>
    <t>Tomás Effio</t>
  </si>
  <si>
    <t>Viernes</t>
  </si>
  <si>
    <t>Válido</t>
  </si>
  <si>
    <t>Lucía Bravo</t>
  </si>
  <si>
    <t>sábado</t>
  </si>
  <si>
    <t>Ricardo Soto</t>
  </si>
  <si>
    <t>VIERNES</t>
  </si>
  <si>
    <t>Nadia Chumpitaz</t>
  </si>
  <si>
    <t>Sábado</t>
  </si>
  <si>
    <t>Bruno Alania</t>
  </si>
  <si>
    <t>viernes</t>
  </si>
  <si>
    <t>Ximena Delgado</t>
  </si>
  <si>
    <t>Milagros Guerra</t>
  </si>
  <si>
    <t>Cancelado</t>
  </si>
  <si>
    <t>📊 EXPEDIENTE — Evidencia Cruda del Caso 1</t>
  </si>
  <si>
    <t>Esta es tu área de trabajo: edita, borra filas y aplica filtros aquí directamente. Tus respuestas en 🧩 Tu Caso se revisan contra lo que hagas en esta pestaña.</t>
  </si>
  <si>
    <t>SABADO</t>
  </si>
  <si>
    <t>Sebastián Cusicanqui</t>
  </si>
  <si>
    <t>Camila Chumpitaz</t>
  </si>
  <si>
    <t>María Palomino</t>
  </si>
  <si>
    <t>Ximena Mamani</t>
  </si>
  <si>
    <t>Joaquín Bravo</t>
  </si>
  <si>
    <t>Andrés Mamani</t>
  </si>
  <si>
    <t>Luis Huamán</t>
  </si>
  <si>
    <t>Diego Cusicanqui</t>
  </si>
  <si>
    <t>Valeria Zevallos</t>
  </si>
  <si>
    <t>SÁBADO</t>
  </si>
  <si>
    <t>Gabriela Salas</t>
  </si>
  <si>
    <t>Valeria Soto</t>
  </si>
  <si>
    <t>Ana Quispe</t>
  </si>
  <si>
    <t>Luis Vargas</t>
  </si>
  <si>
    <t>sabado</t>
  </si>
  <si>
    <t>Lucía Flores</t>
  </si>
  <si>
    <t>Iván Mamani</t>
  </si>
  <si>
    <t>Milagros Paz</t>
  </si>
  <si>
    <t>Milagros Bravo</t>
  </si>
  <si>
    <t>Sofía Mamani</t>
  </si>
  <si>
    <t>Mateo Delgado</t>
  </si>
  <si>
    <t>Ximena Soto</t>
  </si>
  <si>
    <t>Sebastián Cusi</t>
  </si>
  <si>
    <t>Camila Huamán</t>
  </si>
  <si>
    <t>Tomás Rojas</t>
  </si>
  <si>
    <t>Valeria Flores</t>
  </si>
  <si>
    <t>Ana Alania</t>
  </si>
  <si>
    <t>Ricardo Bravo</t>
  </si>
  <si>
    <t>Sebastián Flores</t>
  </si>
  <si>
    <t>Rosa Torres</t>
  </si>
  <si>
    <t>Iván Rojas</t>
  </si>
  <si>
    <t>Fernando Huamán</t>
  </si>
  <si>
    <t>Estefanía Ninahuanca</t>
  </si>
  <si>
    <t>Lucía Mamani</t>
  </si>
  <si>
    <t>Milagros Flores</t>
  </si>
  <si>
    <t>Lucía Contreras</t>
  </si>
  <si>
    <t>Estefanía Delgado</t>
  </si>
  <si>
    <t>María Guerra</t>
  </si>
  <si>
    <t>Andrés Contreras</t>
  </si>
  <si>
    <t>Jorge Zevallos</t>
  </si>
  <si>
    <t>Fernando Yupanqui</t>
  </si>
  <si>
    <t>Mateo Cusicanqui</t>
  </si>
  <si>
    <t>Daniela Salas</t>
  </si>
  <si>
    <t>Estefanía Alania</t>
  </si>
  <si>
    <t>Karla Palomino</t>
  </si>
  <si>
    <t>Karla Huamán</t>
  </si>
  <si>
    <t>Fernando Rojas</t>
  </si>
  <si>
    <t>Renzo Soto</t>
  </si>
  <si>
    <t>Karla Zevallos</t>
  </si>
  <si>
    <t>Lucía Ninahuanca</t>
  </si>
  <si>
    <t>Fernando Chumpitaz</t>
  </si>
  <si>
    <t>Fernando Alania</t>
  </si>
  <si>
    <t>Fernando Aliaga</t>
  </si>
  <si>
    <t>Estefanía Zevallos</t>
  </si>
  <si>
    <t>Nadia Salas</t>
  </si>
  <si>
    <t>Valeria Delgado</t>
  </si>
  <si>
    <t>Sofía Soto</t>
  </si>
  <si>
    <t>Milagros Cusi</t>
  </si>
  <si>
    <t>Luis Cusicanqui</t>
  </si>
  <si>
    <t>Valeria Ponce</t>
  </si>
  <si>
    <t>Bruno Salas</t>
  </si>
  <si>
    <t>Diego Rojas</t>
  </si>
  <si>
    <t>Pedro Alania</t>
  </si>
  <si>
    <t>Karla Cusicanqui</t>
  </si>
  <si>
    <t>Ana Vargas</t>
  </si>
  <si>
    <t>Estefanía Palomino</t>
  </si>
  <si>
    <t>Andrés Torres</t>
  </si>
  <si>
    <t>Jorge Palomino</t>
  </si>
  <si>
    <t>Lucía Ccahuana</t>
  </si>
  <si>
    <t>Ana Torres</t>
  </si>
  <si>
    <t>Ana Guerra</t>
  </si>
  <si>
    <t>Jorge Rojas</t>
  </si>
  <si>
    <t>Mateo Bravo</t>
  </si>
  <si>
    <t>Fernando Palomino</t>
  </si>
  <si>
    <t>Diego Ninahuanca</t>
  </si>
  <si>
    <t>Renzo Quispe</t>
  </si>
  <si>
    <t>Tomás Palomino</t>
  </si>
  <si>
    <t>Ximena Effio</t>
  </si>
  <si>
    <t>Nadia Paz</t>
  </si>
  <si>
    <t>Alessandra Quispe</t>
  </si>
  <si>
    <t>Sofía Ponce</t>
  </si>
  <si>
    <t>Lucía Effio</t>
  </si>
  <si>
    <t>Ana Zevallos</t>
  </si>
  <si>
    <t>Lucía Soto</t>
  </si>
  <si>
    <t>Luis Ccahuana</t>
  </si>
  <si>
    <t>Daniela Alania</t>
  </si>
  <si>
    <t>María Ccahuana</t>
  </si>
  <si>
    <t>Milagros Ríos</t>
  </si>
  <si>
    <t>Karla Yupanqui</t>
  </si>
  <si>
    <t>Ana Delgado</t>
  </si>
  <si>
    <t>Andrés Paz</t>
  </si>
  <si>
    <t>Joaquín López</t>
  </si>
  <si>
    <t>Sofía Bravo</t>
  </si>
  <si>
    <t>Fernando Ninahuanca</t>
  </si>
  <si>
    <t>María Alania</t>
  </si>
  <si>
    <t>Camila Alania</t>
  </si>
  <si>
    <t>clave</t>
  </si>
  <si>
    <t>valor</t>
  </si>
  <si>
    <t>ex1</t>
  </si>
  <si>
    <t>ex2</t>
  </si>
  <si>
    <t>debug1</t>
  </si>
  <si>
    <t>t1</t>
  </si>
  <si>
    <t>b</t>
  </si>
  <si>
    <t>t2</t>
  </si>
  <si>
    <t>c</t>
  </si>
  <si>
    <t>t3</t>
  </si>
  <si>
    <t>ex4_target_count</t>
  </si>
  <si>
    <t>ex6_target_sum</t>
  </si>
  <si>
    <t>🧩 CASO N.º 1 — Tu Expediente de Trabajo</t>
  </si>
  <si>
    <t>⚡ XP TOTAL</t>
  </si>
  <si>
    <t>🔎 SECCIÓN 1 — Revisar la Evidencia  (20 XP)</t>
  </si>
  <si>
    <t>Clave</t>
  </si>
  <si>
    <t>Instrucción</t>
  </si>
  <si>
    <t>Tu respuesta</t>
  </si>
  <si>
    <t>Resultado</t>
  </si>
  <si>
    <t>Sin editar nada todavía: ve a 📊 Datos y cuenta — ¿cuántas filas de evidencia llegaron? (no cuentes el encabezado)  (+5 XP)</t>
  </si>
  <si>
    <t>¿Cuántas columnas/pistas tiene el caso?  (+5 XP)</t>
  </si>
  <si>
    <t>En 📊 Datos, cada FILA representa: a) una columna de datos, b) un boleto vendido (una pieza de evidencia), c) el nombre de la Agencia, d) el precio total  (+5 XP)</t>
  </si>
  <si>
    <t>Un compañero ficticio contó 109 filas de evidencia — contó el encabezado dos veces. ¿Cuántas filas hay en realidad?  (+5 XP)</t>
  </si>
  <si>
    <t>🧹 SECCIÓN 2 — Limpiar el Caso  (40 XP)</t>
  </si>
  <si>
    <t>🧹 LIMPIEZA — duplicados, texto inconsistente y vacíos</t>
  </si>
  <si>
    <t>Un duplicado exacto tiene el mismo Comprador, Boletos y Día repetidos dos veces.</t>
  </si>
  <si>
    <t>'VIERNES' y 'viernes' significan lo mismo para una persona, pero no para una computadora — hay que escribirlo exactamente igual en toda la columna.</t>
  </si>
  <si>
    <t>Antes de asumir un valor vacío, investiga: pregunta, no adivines.</t>
  </si>
  <si>
    <t>🔑 Duplicado exacto = mismo Comprador + mismo Boletos + mismo Día</t>
  </si>
  <si>
    <t>ex3</t>
  </si>
  <si>
    <t>En 📊 Datos, pon en negrita la fila de encabezados y agrégale bordes. Marca la casilla cuando termines — tu profesor(a) revisa el formato.  (+5 XP)</t>
  </si>
  <si>
    <t>ex4</t>
  </si>
  <si>
    <t>En 📊 Datos, elimina las filas duplicadas exactas Y las filas Canceladas. Al terminar deberían quedar exactamente 90 filas válidas.  (+10 XP)</t>
  </si>
  <si>
    <t>— se revisa solo —</t>
  </si>
  <si>
    <t>ex5</t>
  </si>
  <si>
    <t>En 📊 Datos, estandariza la columna Día a exactamente 'Viernes' o 'Sábado' (sin mayúsculas irregulares tipo VIERNES, sábado, SABADO).  (+10 XP)</t>
  </si>
  <si>
    <t>ex6</t>
  </si>
  <si>
    <t>Nueva pista: la Agencia encontró los boletos que faltaban (ver la tabla de pistas más abajo). Complétalos en 📊 Datos.  (+10 XP)</t>
  </si>
  <si>
    <t>Una celda de Boletos está vacía. ¿Qué deberías hacer? a) Borrar la fila, b) Asumir que es 0, c) Investigar antes de asumir, d) Poner el promedio del resto  (+5 XP)</t>
  </si>
  <si>
    <t>check_mini_b</t>
  </si>
  <si>
    <t>🔒 Checkpoint: completa ex4 + ex5 + ex6 + t2 antes de pasar a la Sección 3.</t>
  </si>
  <si>
    <t>🕵️ Nueva pista — boletos que la Agencia encontró</t>
  </si>
  <si>
    <t>— Fin de la Recepción y Limpieza —</t>
  </si>
  <si>
    <t>🔍 SECCIÓN 3 — Filtrar por Día  (35 XP)</t>
  </si>
  <si>
    <t>🔍 FILTRO — cómo verlo por partes</t>
  </si>
  <si>
    <t>Datos → Crear un filtro te deja mostrar solo las filas que cumplen una condición (por ejemplo, Día = Sábado).</t>
  </si>
  <si>
    <t>La barra de estado (abajo a la derecha de Sheets) muestra Suma/Cuenta de las celdas visibles que selecciones.</t>
  </si>
  <si>
    <t>Las filas escondidas por el filtro no desaparecen — solo se ocultan temporalmente.</t>
  </si>
  <si>
    <t>🛠️ Datos → Crear un filtro   |   Barra de estado = Suma / Cuenta en vivo</t>
  </si>
  <si>
    <t>ex9</t>
  </si>
  <si>
    <t>En 📊 Datos, aplica un filtro (Datos → Crear un filtro) mostrando solo Día = 'Sábado'. Deberían quedar 42 filas visibles. Marca la casilla cuando lo hayas hecho.  (+5 XP)</t>
  </si>
  <si>
    <t>ex10</t>
  </si>
  <si>
    <t>Con el filtro de Sábado activo, selecciona toda la columna Boletos (solo celdas visibles) y mira la barra inferior donde dice 'Suma: ___'. Escribe ese número.  (+10 XP)</t>
  </si>
  <si>
    <t>ex11</t>
  </si>
  <si>
    <t>Repite el filtro para Viernes y anota el subtotal de la misma forma.  (+10 XP)</t>
  </si>
  <si>
    <t>Si sumas los dos subtotales que acabas de calcular (Viernes + Sábado), ¿qué deberías obtener? a) Un número distinto cada vez que lo intentes, b) El total general de boletos vendidos, c) El precio por boleto, d) La cantidad de días de venta  (+10 XP)</t>
  </si>
  <si>
    <t>check_mini_d</t>
  </si>
  <si>
    <t>🔒 Checkpoint: completa ex9 + ex10 + ex11 + t3 para desbloquear 'Enviar para calificar'.</t>
  </si>
  <si>
    <t>🎁 RETO BONUS  (no cuenta al puntaje base)</t>
  </si>
  <si>
    <t>reto1</t>
  </si>
  <si>
    <t>Sin usar SUMA() ni ninguna fórmula nueva: comparando los subtotales que ya calculaste, ¿qué día vendió más boletos?  (+10 XP)</t>
  </si>
  <si>
    <t>📤 RESUMEN PARA ENVIAR</t>
  </si>
  <si>
    <t>Agente</t>
  </si>
  <si>
    <t>Grado</t>
  </si>
  <si>
    <t>XP autocalificado</t>
  </si>
  <si>
    <t>XP revisión profesor(a)</t>
  </si>
  <si>
    <t>XP Bonus</t>
  </si>
  <si>
    <t>XP Total (con bonus)</t>
  </si>
  <si>
    <t>📤  ENVIAR PARA CALIFICAR</t>
  </si>
  <si>
    <t>Nota de build: este es un marcador visual. El disparo real (Apps Script + payload de la API) queda pendiente de diseño por ATLAS.</t>
  </si>
  <si>
    <t>🔎 Ejemplo Resuelto</t>
  </si>
  <si>
    <t>EST1_2026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</si>
</sst>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20"/>
      <color rgb="FFFFFFFF"/>
      <name val="Calibri"/>
    </font>
    <font>
      <i/>
      <sz val="11"/>
      <color rgb="FFE7E9F5"/>
      <name val="Calibri"/>
    </font>
    <font>
      <b/>
      <sz val="10.5"/>
      <color rgb="FFFFFFFF"/>
      <name val="Calibri"/>
    </font>
    <font>
      <sz val="10.5"/>
      <color rgb="FFE7E9F5"/>
      <name val="Calibri"/>
    </font>
    <font>
      <i/>
      <sz val="9"/>
      <color rgb="FF6B7290"/>
      <name val="Calibri"/>
    </font>
    <font>
      <b/>
      <sz val="11"/>
      <color rgb="FF8FEDD4"/>
      <name val="Calibri"/>
    </font>
    <font>
      <i/>
      <sz val="11"/>
      <color rgb="FFAFC2FF"/>
      <name val="Calibri"/>
    </font>
    <font>
      <b/>
      <sz val="14"/>
      <color rgb="FFFFFFFF"/>
      <name val="Calibri"/>
    </font>
    <font>
      <b/>
      <sz val="10"/>
      <color rgb="FFFFFFFF"/>
      <name val="Calibri"/>
    </font>
    <font>
      <b/>
      <sz val="11"/>
      <color rgb="FFFFFFFF"/>
      <name val="Calibri"/>
    </font>
    <font>
      <b/>
      <sz val="9"/>
      <color rgb="FF6B7290"/>
      <name val="Calibri"/>
    </font>
    <font>
      <sz val="9"/>
      <color rgb="FF1B2050"/>
      <name val="Calibri"/>
    </font>
    <font>
      <b/>
      <sz val="10"/>
      <color rgb="FF6B7290"/>
      <name val="Calibri"/>
    </font>
    <font>
      <sz val="9"/>
      <color rgb="FF141737"/>
      <name val="Calibri"/>
    </font>
    <font>
      <sz val="10"/>
      <color rgb="FF8FEDD4"/>
      <name val="Calibri"/>
    </font>
    <font>
      <b/>
      <sz val="10.5"/>
      <color rgb="FF8FEDD4"/>
      <name val="Calibri"/>
    </font>
    <font>
      <b/>
      <sz val="10"/>
      <color rgb="FFFFD9A6"/>
      <name val="Calibri"/>
    </font>
    <font>
      <b/>
      <sz val="10"/>
      <color rgb="FF000000"/>
      <name val="Calibri"/>
    </font>
    <font>
      <b/>
      <sz val="14"/>
      <color rgb="FF1A1200"/>
      <name val="Calibri"/>
    </font>
    <font>
      <b/>
      <sz val="10"/>
      <color rgb="FF1A1200"/>
      <name val="Calibri"/>
    </font>
    <font>
      <b/>
      <i/>
      <sz val="11"/>
      <color rgb="FF6B7290"/>
      <name val="Calibri"/>
    </font>
    <font>
      <sz val="10"/>
      <color rgb="FFFBB6D9"/>
      <name val="Calibri"/>
    </font>
    <font>
      <b/>
      <sz val="10.5"/>
      <color rgb="FFFBB6D9"/>
      <name val="Calibri"/>
    </font>
    <font>
      <b/>
      <sz val="15"/>
      <color rgb="FF1A1200"/>
      <name val="Calibri"/>
    </font>
    <font>
      <b/>
      <sz val="13"/>
      <color rgb="FF1A1200"/>
      <name val="Calibri"/>
    </font>
    <font>
      <b/>
      <sz val="11"/>
      <color rgb="FFFFFFFF"/>
      <name val="Calibri"/>
    </font>
    <font>
      <b/>
      <sz val="13"/>
      <color rgb="FFFFD9A6"/>
      <name val="Calibri"/>
    </font>
    <font>
      <b/>
      <sz val="13"/>
      <color rgb="FFFFFFFF"/>
      <name val="Calibri"/>
    </font>
    <font>
      <b/>
      <sz val="24"/>
      <color rgb="FFFFFFFF"/>
      <name val="Calibri"/>
    </font>
  </fonts>
  <fills count="14">
    <fill>
      <patternFill patternType="none"/>
    </fill>
    <fill>
      <patternFill patternType="gray125"/>
    </fill>
    <fill>
      <patternFill patternType="solid">
        <fgColor rgb="FF0F1230"/>
      </patternFill>
    </fill>
    <fill>
      <patternFill patternType="solid">
        <fgColor rgb="FF171B45"/>
      </patternFill>
    </fill>
    <fill>
      <patternFill patternType="solid">
        <fgColor rgb="FFFFE066"/>
      </patternFill>
    </fill>
    <fill>
      <patternFill patternType="solid">
        <fgColor rgb="FF3D6DF2"/>
      </patternFill>
    </fill>
    <fill>
      <patternFill patternType="solid">
        <fgColor rgb="FF17C39B"/>
      </patternFill>
    </fill>
    <fill>
      <patternFill patternType="solid">
        <fgColor rgb="FF141737"/>
      </patternFill>
    </fill>
    <fill>
      <patternFill patternType="solid">
        <fgColor rgb="FF1B2050"/>
      </patternFill>
    </fill>
    <fill>
      <patternFill patternType="solid">
        <fgColor rgb="FFF4384A"/>
      </patternFill>
    </fill>
    <fill>
      <patternFill patternType="solid">
        <fgColor rgb="FFFFD447"/>
      </patternFill>
    </fill>
    <fill>
      <patternFill patternType="solid">
        <fgColor rgb="FFFF7A00"/>
      </patternFill>
    </fill>
    <fill>
      <patternFill patternType="solid">
        <fgColor rgb="FF1D2154"/>
      </patternFill>
    </fill>
    <fill>
      <patternFill patternType="solid">
        <fgColor rgb="FFEC4899"/>
      </patternFill>
    </fill>
  </fills>
  <borders count="13">
    <border>
      <left/>
      <right/>
      <top/>
      <bottom/>
      <diagonal/>
    </border>
    <border>
      <left/>
      <right/>
      <top/>
      <bottom style="thick">
        <color rgb="FFFF7A00"/>
      </bottom>
      <diagonal/>
    </border>
    <border>
      <left style="thin">
        <color rgb="FF30356E"/>
      </left>
      <right style="thin">
        <color rgb="FF30356E"/>
      </right>
      <top style="thin">
        <color rgb="FF30356E"/>
      </top>
      <bottom style="thin">
        <color rgb="FF30356E"/>
      </bottom>
      <diagonal/>
    </border>
    <border>
      <left style="thick">
        <color rgb="FFFF7A00"/>
      </left>
      <right style="thick">
        <color rgb="FFFF7A00"/>
      </right>
      <top style="thick">
        <color rgb="FFFF7A00"/>
      </top>
      <bottom/>
      <diagonal/>
    </border>
    <border>
      <left/>
      <right style="thick">
        <color rgb="FFFF7A00"/>
      </right>
      <top style="thick">
        <color rgb="FFFF7A00"/>
      </top>
      <bottom/>
      <diagonal/>
    </border>
    <border>
      <left style="thick">
        <color rgb="FFFF7A00"/>
      </left>
      <right style="thick">
        <color rgb="FFFF7A00"/>
      </right>
      <top/>
      <bottom style="thick">
        <color rgb="FFFF7A00"/>
      </bottom>
      <diagonal/>
    </border>
    <border>
      <left/>
      <right style="thick">
        <color rgb="FFFF7A00"/>
      </right>
      <top/>
      <bottom style="thick">
        <color rgb="FFFF7A00"/>
      </bottom>
      <diagonal/>
    </border>
    <border>
      <left style="thin">
        <color rgb="FF17C39B"/>
      </left>
      <right/>
      <top style="thin">
        <color rgb="FF17C39B"/>
      </top>
      <bottom style="thin">
        <color rgb="FF17C39B"/>
      </bottom>
      <diagonal/>
    </border>
    <border>
      <left/>
      <right/>
      <top style="thin">
        <color rgb="FF17C39B"/>
      </top>
      <bottom style="thin">
        <color rgb="FF17C39B"/>
      </bottom>
      <diagonal/>
    </border>
    <border>
      <left/>
      <right style="thin">
        <color rgb="FF17C39B"/>
      </right>
      <top style="thin">
        <color rgb="FF17C39B"/>
      </top>
      <bottom style="thin">
        <color rgb="FF17C39B"/>
      </bottom>
      <diagonal/>
    </border>
    <border>
      <left style="thin">
        <color rgb="FFEC4899"/>
      </left>
      <right/>
      <top style="thin">
        <color rgb="FFEC4899"/>
      </top>
      <bottom style="thin">
        <color rgb="FFEC4899"/>
      </bottom>
      <diagonal/>
    </border>
    <border>
      <left/>
      <right/>
      <top style="thin">
        <color rgb="FFEC4899"/>
      </top>
      <bottom style="thin">
        <color rgb="FFEC4899"/>
      </bottom>
      <diagonal/>
    </border>
    <border>
      <left/>
      <right style="thin">
        <color rgb="FFEC4899"/>
      </right>
      <top style="thin">
        <color rgb="FFEC4899"/>
      </top>
      <bottom style="thin">
        <color rgb="FFEC4899"/>
      </bottom>
      <diagonal/>
    </border>
  </borders>
  <cellStyleXfs count="1">
    <xf numFmtId="0" fontId="0" fillId="0" borderId="0"/>
  </cellStyleXfs>
  <cellXfs count="77">
    <xf numFmtId="0" fontId="0" fillId="0" borderId="0" xfId="0"/>
    <xf numFmtId="0" fontId="0" fillId="2" borderId="0" xfId="0" applyFill="1"/>
    <xf numFmtId="0" fontId="3" fillId="2" borderId="2" xfId="0" applyFont="1" applyFill="1" applyBorder="1" applyAlignment="1">
      <alignment horizontal="left" vertical="center"/>
    </xf>
    <xf numFmtId="0" fontId="0" fillId="4" borderId="2" xfId="0" applyFill="1" applyBorder="1"/>
    <xf numFmtId="0" fontId="4" fillId="2" borderId="0" xfId="0" applyFont="1" applyFill="1"/>
    <xf numFmtId="0" fontId="5" fillId="2" borderId="0" xfId="0" applyFont="1" applyFill="1"/>
    <xf numFmtId="0" fontId="9" fillId="5"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4" fillId="8" borderId="2" xfId="0" applyFont="1" applyFill="1" applyBorder="1" applyAlignment="1">
      <alignment horizontal="left"/>
    </xf>
    <xf numFmtId="0" fontId="4" fillId="8" borderId="2" xfId="0" applyFont="1" applyFill="1" applyBorder="1" applyAlignment="1">
      <alignment horizontal="center"/>
    </xf>
    <xf numFmtId="0" fontId="4" fillId="7" borderId="2" xfId="0" applyFont="1" applyFill="1" applyBorder="1" applyAlignment="1">
      <alignment horizontal="left"/>
    </xf>
    <xf numFmtId="0" fontId="4" fillId="7" borderId="2" xfId="0" applyFont="1" applyFill="1" applyBorder="1" applyAlignment="1">
      <alignment horizontal="center"/>
    </xf>
    <xf numFmtId="0" fontId="4" fillId="9" borderId="2" xfId="0" applyFont="1" applyFill="1" applyBorder="1" applyAlignment="1">
      <alignment horizontal="left"/>
    </xf>
    <xf numFmtId="0" fontId="4" fillId="9" borderId="2" xfId="0" applyFont="1" applyFill="1" applyBorder="1" applyAlignment="1">
      <alignment horizontal="center"/>
    </xf>
    <xf numFmtId="0" fontId="0" fillId="4" borderId="2" xfId="0" applyFill="1" applyBorder="1" applyAlignment="1">
      <alignment horizontal="left"/>
    </xf>
    <xf numFmtId="0" fontId="0" fillId="4" borderId="2" xfId="0" applyFill="1" applyBorder="1" applyAlignment="1">
      <alignment horizontal="center"/>
    </xf>
    <xf numFmtId="0" fontId="0" fillId="10" borderId="2" xfId="0" applyFill="1" applyBorder="1" applyAlignment="1">
      <alignment horizontal="left"/>
    </xf>
    <xf numFmtId="0" fontId="0" fillId="10" borderId="2" xfId="0" applyFill="1" applyBorder="1" applyAlignment="1">
      <alignment horizontal="center"/>
    </xf>
    <xf numFmtId="0" fontId="11" fillId="3" borderId="0" xfId="0" applyFont="1" applyFill="1" applyAlignment="1">
      <alignment horizontal="center" vertical="center" wrapText="1"/>
    </xf>
    <xf numFmtId="0" fontId="9" fillId="5" borderId="0" xfId="0" applyFont="1" applyFill="1" applyAlignment="1">
      <alignment horizontal="center" vertical="center" wrapText="1"/>
    </xf>
    <xf numFmtId="0" fontId="4" fillId="8" borderId="0" xfId="0" applyFont="1" applyFill="1" applyAlignment="1">
      <alignment horizontal="left" vertical="top" wrapText="1"/>
    </xf>
    <xf numFmtId="0" fontId="0" fillId="4" borderId="0" xfId="0" applyFill="1"/>
    <xf numFmtId="0" fontId="13" fillId="8" borderId="0" xfId="0" applyFont="1" applyFill="1" applyAlignment="1">
      <alignment horizontal="center" vertical="center" wrapText="1"/>
    </xf>
    <xf numFmtId="0" fontId="12" fillId="8" borderId="0" xfId="0" applyFont="1" applyFill="1" applyAlignment="1">
      <alignment horizontal="center" vertical="center" wrapText="1"/>
    </xf>
    <xf numFmtId="0" fontId="4" fillId="7" borderId="0" xfId="0" applyFont="1" applyFill="1" applyAlignment="1">
      <alignment horizontal="left" vertical="top" wrapText="1"/>
    </xf>
    <xf numFmtId="0" fontId="13" fillId="7" borderId="0" xfId="0" applyFont="1" applyFill="1" applyAlignment="1">
      <alignment horizontal="center" vertical="center" wrapText="1"/>
    </xf>
    <xf numFmtId="0" fontId="14" fillId="7" borderId="0" xfId="0" applyFont="1" applyFill="1" applyAlignment="1">
      <alignment horizontal="center" vertical="center" wrapText="1"/>
    </xf>
    <xf numFmtId="0" fontId="9" fillId="6" borderId="0" xfId="0" applyFont="1" applyFill="1" applyAlignment="1">
      <alignment horizontal="center" vertical="center" wrapText="1"/>
    </xf>
    <xf numFmtId="0" fontId="17" fillId="8" borderId="0" xfId="0" applyFont="1" applyFill="1" applyAlignment="1">
      <alignment horizontal="center" vertical="center" wrapText="1"/>
    </xf>
    <xf numFmtId="0" fontId="18" fillId="4" borderId="0" xfId="0" applyFont="1" applyFill="1" applyAlignment="1">
      <alignment horizontal="center" vertical="center" wrapText="1"/>
    </xf>
    <xf numFmtId="0" fontId="5" fillId="7" borderId="0" xfId="0" applyFont="1" applyFill="1" applyAlignment="1">
      <alignment horizontal="center" vertical="center" wrapText="1"/>
    </xf>
    <xf numFmtId="0" fontId="5" fillId="8" borderId="0" xfId="0" applyFont="1" applyFill="1" applyAlignment="1">
      <alignment horizontal="center" vertical="center" wrapText="1"/>
    </xf>
    <xf numFmtId="0" fontId="20" fillId="11" borderId="0" xfId="0" applyFont="1" applyFill="1" applyAlignment="1">
      <alignment horizontal="center" vertical="center" wrapText="1"/>
    </xf>
    <xf numFmtId="0" fontId="4" fillId="7" borderId="0" xfId="0" applyFont="1" applyFill="1"/>
    <xf numFmtId="0" fontId="4" fillId="7" borderId="0" xfId="0" applyFont="1" applyFill="1" applyAlignment="1">
      <alignment horizontal="center" vertical="center" wrapText="1"/>
    </xf>
    <xf numFmtId="0" fontId="4" fillId="8" borderId="0" xfId="0" applyFont="1" applyFill="1"/>
    <xf numFmtId="0" fontId="4" fillId="8" borderId="0" xfId="0" applyFont="1" applyFill="1" applyAlignment="1">
      <alignment horizontal="center" vertical="center" wrapText="1"/>
    </xf>
    <xf numFmtId="0" fontId="9" fillId="13" borderId="0" xfId="0" applyFont="1" applyFill="1" applyAlignment="1">
      <alignment horizontal="center" vertical="center" wrapText="1"/>
    </xf>
    <xf numFmtId="0" fontId="17" fillId="7" borderId="0" xfId="0" applyFont="1" applyFill="1" applyAlignment="1">
      <alignment horizontal="center" vertical="center" wrapText="1"/>
    </xf>
    <xf numFmtId="0" fontId="9" fillId="11" borderId="0" xfId="0" applyFont="1" applyFill="1" applyAlignment="1">
      <alignment horizontal="center" vertical="center" wrapText="1"/>
    </xf>
    <xf numFmtId="0" fontId="3" fillId="2" borderId="0" xfId="0" applyFont="1" applyFill="1"/>
    <xf numFmtId="0" fontId="26" fillId="2" borderId="0" xfId="0" applyFont="1" applyFill="1"/>
    <xf numFmtId="0" fontId="27" fillId="2" borderId="0" xfId="0" applyFont="1" applyFill="1"/>
    <xf numFmtId="0" fontId="5" fillId="2" borderId="0" xfId="0" applyFont="1" applyFill="1" applyAlignment="1">
      <alignment vertical="top" wrapText="1"/>
    </xf>
    <xf numFmtId="0" fontId="0" fillId="0" borderId="0" xfId="0"/>
    <xf numFmtId="0" fontId="1" fillId="3" borderId="0" xfId="0" applyFont="1" applyFill="1" applyAlignment="1">
      <alignment horizontal="left" vertical="center" indent="1"/>
    </xf>
    <xf numFmtId="0" fontId="0" fillId="3" borderId="1" xfId="0" applyFill="1" applyBorder="1"/>
    <xf numFmtId="0" fontId="2" fillId="2" borderId="0" xfId="0" applyFont="1" applyFill="1" applyAlignment="1">
      <alignment vertical="top" wrapText="1"/>
    </xf>
    <xf numFmtId="0" fontId="6" fillId="2" borderId="0" xfId="0" applyFont="1" applyFill="1" applyAlignment="1">
      <alignment vertical="top" wrapText="1"/>
    </xf>
    <xf numFmtId="0" fontId="7" fillId="2" borderId="0" xfId="0" applyFont="1" applyFill="1" applyAlignment="1">
      <alignment vertical="top" wrapText="1"/>
    </xf>
    <xf numFmtId="0" fontId="4" fillId="2" borderId="0" xfId="0" applyFont="1" applyFill="1" applyAlignment="1">
      <alignment vertical="top" wrapText="1"/>
    </xf>
    <xf numFmtId="0" fontId="8" fillId="5" borderId="0" xfId="0" applyFont="1" applyFill="1"/>
    <xf numFmtId="0" fontId="8" fillId="6" borderId="0" xfId="0" applyFont="1" applyFill="1"/>
    <xf numFmtId="0" fontId="4" fillId="7" borderId="0" xfId="0" applyFont="1" applyFill="1" applyAlignment="1">
      <alignment vertical="top" wrapText="1"/>
    </xf>
    <xf numFmtId="0" fontId="4" fillId="8" borderId="0" xfId="0" applyFont="1" applyFill="1" applyAlignment="1">
      <alignment vertical="top" wrapText="1"/>
    </xf>
    <xf numFmtId="0" fontId="2" fillId="3" borderId="0" xfId="0" applyFont="1" applyFill="1" applyAlignment="1">
      <alignment vertical="top" wrapText="1"/>
    </xf>
    <xf numFmtId="0" fontId="22" fillId="12" borderId="0" xfId="0" applyFont="1" applyFill="1" applyAlignment="1">
      <alignment vertical="top" wrapText="1"/>
    </xf>
    <xf numFmtId="0" fontId="8" fillId="6" borderId="0" xfId="0" applyFont="1" applyFill="1" applyAlignment="1">
      <alignment horizontal="left" vertical="center" indent="1"/>
    </xf>
    <xf numFmtId="0" fontId="24" fillId="11" borderId="0" xfId="0" applyFont="1" applyFill="1" applyAlignment="1">
      <alignment horizontal="left" vertical="center" indent="1"/>
    </xf>
    <xf numFmtId="0" fontId="29" fillId="3" borderId="5" xfId="0" applyFont="1" applyFill="1" applyBorder="1" applyAlignment="1">
      <alignment horizontal="center" vertical="center" wrapText="1"/>
    </xf>
    <xf numFmtId="0" fontId="0" fillId="3" borderId="6" xfId="0" applyFill="1" applyBorder="1"/>
    <xf numFmtId="0" fontId="23" fillId="12" borderId="10" xfId="0" applyFont="1" applyFill="1" applyBorder="1" applyAlignment="1">
      <alignment horizontal="left" vertical="center" wrapText="1" indent="1"/>
    </xf>
    <xf numFmtId="0" fontId="0" fillId="0" borderId="11" xfId="0" applyBorder="1"/>
    <xf numFmtId="0" fontId="0" fillId="0" borderId="12" xfId="0" applyBorder="1"/>
    <xf numFmtId="0" fontId="8" fillId="13" borderId="0" xfId="0" applyFont="1" applyFill="1" applyAlignment="1">
      <alignment horizontal="left" vertical="center" indent="1"/>
    </xf>
    <xf numFmtId="0" fontId="8" fillId="5" borderId="0" xfId="0" applyFont="1" applyFill="1" applyAlignment="1">
      <alignment horizontal="left" vertical="center" indent="1"/>
    </xf>
    <xf numFmtId="0" fontId="9" fillId="12" borderId="0" xfId="0" applyFont="1" applyFill="1" applyAlignment="1">
      <alignment horizontal="left" vertical="top" wrapText="1"/>
    </xf>
    <xf numFmtId="0" fontId="28" fillId="6" borderId="0" xfId="0" applyFont="1" applyFill="1" applyAlignment="1">
      <alignment horizontal="center" vertical="center" wrapText="1"/>
    </xf>
    <xf numFmtId="0" fontId="15" fillId="12" borderId="0" xfId="0" applyFont="1" applyFill="1" applyAlignment="1">
      <alignment vertical="top" wrapText="1"/>
    </xf>
    <xf numFmtId="0" fontId="21" fillId="2" borderId="0" xfId="0" applyFont="1" applyFill="1" applyAlignment="1">
      <alignment horizontal="center" vertical="center" wrapText="1"/>
    </xf>
    <xf numFmtId="0" fontId="10" fillId="11" borderId="3" xfId="0" applyFont="1" applyFill="1" applyBorder="1" applyAlignment="1">
      <alignment horizontal="center" vertical="center" wrapText="1"/>
    </xf>
    <xf numFmtId="0" fontId="0" fillId="11" borderId="4" xfId="0" applyFill="1" applyBorder="1"/>
    <xf numFmtId="0" fontId="25" fillId="11" borderId="0" xfId="0" applyFont="1" applyFill="1" applyAlignment="1">
      <alignment horizontal="left" vertical="center" indent="1"/>
    </xf>
    <xf numFmtId="0" fontId="19" fillId="11" borderId="0" xfId="0" applyFont="1" applyFill="1" applyAlignment="1">
      <alignment horizontal="left" vertical="center" indent="1"/>
    </xf>
    <xf numFmtId="0" fontId="16" fillId="12" borderId="7" xfId="0" applyFont="1" applyFill="1" applyBorder="1" applyAlignment="1">
      <alignment horizontal="left" vertical="center" wrapText="1" indent="1"/>
    </xf>
    <xf numFmtId="0" fontId="0" fillId="0" borderId="8" xfId="0" applyBorder="1"/>
    <xf numFmtId="0" fontId="0" fillId="0" borderId="9" xfId="0" applyBorder="1"/>
  </cellXfs>
  <cellStyles count="1">
    <cellStyle name="Normal" xfId="0" builtinId="0"/>
  </cellStyles>
  <dxfs count="30">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ont>
        <b/>
        <color rgb="FFFFB3BA"/>
      </font>
    </dxf>
    <dxf>
      <font>
        <b/>
        <color rgb="FF8FEDD4"/>
      </font>
    </dxf>
    <dxf>
      <fill>
        <patternFill patternType="solid">
          <fgColor rgb="FFFF7A00"/>
        </patternFill>
      </fill>
    </dxf>
    <dxf>
      <fill>
        <patternFill patternType="solid">
          <fgColor rgb="FFF4384A"/>
        </patternFill>
      </fill>
    </dxf>
    <dxf>
      <fill>
        <patternFill patternType="solid">
          <fgColor rgb="FF4A1420"/>
        </patternFill>
      </fill>
    </dxf>
    <dxf>
      <fill>
        <patternFill patternType="solid">
          <fgColor rgb="FF123A2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selection activeCell="C16" sqref="C16"/>
    </sheetView>
  </sheetViews>
  <sheetFormatPr defaultRowHeight="15" x14ac:dyDescent="0.25"/>
  <cols>
    <col min="1" max="1" width="3" customWidth="1"/>
    <col min="2" max="2" width="24" customWidth="1"/>
    <col min="3" max="3" width="64.7109375" customWidth="1"/>
    <col min="4" max="4" width="3" customWidth="1"/>
  </cols>
  <sheetData>
    <row r="1" spans="1:4" ht="21.95" customHeight="1" x14ac:dyDescent="0.25">
      <c r="A1" s="45" t="s">
        <v>0</v>
      </c>
      <c r="B1" s="44"/>
      <c r="C1" s="44"/>
      <c r="D1" s="44"/>
    </row>
    <row r="2" spans="1:4" ht="21.95" customHeight="1" x14ac:dyDescent="0.25">
      <c r="A2" s="46"/>
      <c r="B2" s="46"/>
      <c r="C2" s="46"/>
      <c r="D2" s="46"/>
    </row>
    <row r="3" spans="1:4" ht="24" customHeight="1" x14ac:dyDescent="0.25">
      <c r="A3" s="47" t="s">
        <v>1</v>
      </c>
      <c r="B3" s="44"/>
      <c r="C3" s="44"/>
      <c r="D3" s="44"/>
    </row>
    <row r="4" spans="1:4" ht="21.95" customHeight="1" x14ac:dyDescent="0.25">
      <c r="A4" s="1"/>
      <c r="B4" s="2" t="s">
        <v>2</v>
      </c>
      <c r="C4" s="3"/>
      <c r="D4" s="1"/>
    </row>
    <row r="5" spans="1:4" ht="21.95" customHeight="1" x14ac:dyDescent="0.25">
      <c r="A5" s="1"/>
      <c r="B5" s="2" t="s">
        <v>3</v>
      </c>
      <c r="C5" s="3"/>
      <c r="D5" s="1"/>
    </row>
    <row r="6" spans="1:4" ht="21.95" customHeight="1" x14ac:dyDescent="0.25">
      <c r="A6" s="1"/>
      <c r="B6" s="2" t="s">
        <v>4</v>
      </c>
      <c r="C6" s="3"/>
      <c r="D6" s="1"/>
    </row>
    <row r="7" spans="1:4" x14ac:dyDescent="0.25">
      <c r="A7" s="1"/>
      <c r="B7" s="1"/>
      <c r="C7" s="1"/>
      <c r="D7" s="1"/>
    </row>
    <row r="8" spans="1:4" x14ac:dyDescent="0.25">
      <c r="A8" s="1"/>
      <c r="B8" s="4" t="s">
        <v>5</v>
      </c>
      <c r="C8" s="5" t="s">
        <v>220</v>
      </c>
      <c r="D8" s="1"/>
    </row>
    <row r="9" spans="1:4" x14ac:dyDescent="0.25">
      <c r="A9" s="1"/>
      <c r="B9" s="4" t="s">
        <v>6</v>
      </c>
      <c r="C9" s="5" t="s">
        <v>7</v>
      </c>
      <c r="D9" s="1"/>
    </row>
    <row r="10" spans="1:4" x14ac:dyDescent="0.25">
      <c r="A10" s="43" t="s">
        <v>8</v>
      </c>
      <c r="B10" s="44"/>
      <c r="C10" s="44"/>
      <c r="D10" s="44"/>
    </row>
    <row r="11" spans="1:4" x14ac:dyDescent="0.25">
      <c r="A11" s="1"/>
      <c r="B11" s="1"/>
      <c r="C11" s="1"/>
      <c r="D11" s="1"/>
    </row>
    <row r="12" spans="1:4" x14ac:dyDescent="0.25">
      <c r="A12" s="48" t="str">
        <f>IF(AND(C4&lt;&gt;"",C5&lt;&gt;"",C6&lt;&gt;""),"✅ Listo, agente. Puedes ir a la pestaña 🧩 Tu Caso.","⚠️ Falta completar Nombre, DNI o Grado antes de empezar.")</f>
        <v>⚠️ Falta completar Nombre, DNI o Grado antes de empezar.</v>
      </c>
      <c r="B12" s="44"/>
      <c r="C12" s="44"/>
      <c r="D12" s="44"/>
    </row>
    <row r="13" spans="1:4" x14ac:dyDescent="0.25">
      <c r="A13" s="44"/>
      <c r="B13" s="44"/>
      <c r="C13" s="44"/>
      <c r="D13" s="44"/>
    </row>
    <row r="14" spans="1:4" x14ac:dyDescent="0.25">
      <c r="A14" s="1"/>
      <c r="B14" s="1"/>
      <c r="C14" s="1"/>
      <c r="D14" s="1"/>
    </row>
    <row r="15" spans="1:4" x14ac:dyDescent="0.25">
      <c r="A15" s="1"/>
      <c r="B15" s="1"/>
      <c r="C15" s="1"/>
      <c r="D15" s="1"/>
    </row>
    <row r="16" spans="1:4" x14ac:dyDescent="0.25">
      <c r="A16" s="1"/>
      <c r="B16" s="1"/>
      <c r="C16" s="1"/>
      <c r="D16" s="1"/>
    </row>
  </sheetData>
  <mergeCells count="4">
    <mergeCell ref="A10:D10"/>
    <mergeCell ref="A1:D2"/>
    <mergeCell ref="A3:D3"/>
    <mergeCell ref="A12:D13"/>
  </mergeCells>
  <conditionalFormatting sqref="A12">
    <cfRule type="expression" dxfId="29" priority="1">
      <formula>LEFT($A$12,1)="✅"</formula>
    </cfRule>
    <cfRule type="expression" dxfId="28" priority="2">
      <formula>LEFT($A$12,1)="⚠"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election sqref="A1:B2"/>
    </sheetView>
  </sheetViews>
  <sheetFormatPr defaultRowHeight="15" x14ac:dyDescent="0.25"/>
  <cols>
    <col min="1" max="1" width="4" customWidth="1"/>
    <col min="2" max="2" width="92" customWidth="1"/>
  </cols>
  <sheetData>
    <row r="1" spans="1:2" ht="21.95" customHeight="1" x14ac:dyDescent="0.25">
      <c r="A1" s="45" t="s">
        <v>9</v>
      </c>
      <c r="B1" s="44"/>
    </row>
    <row r="2" spans="1:2" ht="21.95" customHeight="1" x14ac:dyDescent="0.25">
      <c r="A2" s="46"/>
      <c r="B2" s="46"/>
    </row>
    <row r="3" spans="1:2" x14ac:dyDescent="0.25">
      <c r="A3" s="1"/>
      <c r="B3" s="1"/>
    </row>
    <row r="4" spans="1:2" ht="42" customHeight="1" x14ac:dyDescent="0.25">
      <c r="A4" s="49" t="s">
        <v>10</v>
      </c>
      <c r="B4" s="44"/>
    </row>
    <row r="5" spans="1:2" x14ac:dyDescent="0.25">
      <c r="A5" s="1"/>
      <c r="B5" s="1"/>
    </row>
    <row r="6" spans="1:2" ht="42" customHeight="1" x14ac:dyDescent="0.25">
      <c r="A6" s="49" t="s">
        <v>11</v>
      </c>
      <c r="B6" s="44"/>
    </row>
    <row r="7" spans="1:2" x14ac:dyDescent="0.25">
      <c r="A7" s="1"/>
      <c r="B7" s="1"/>
    </row>
    <row r="8" spans="1:2" ht="42" customHeight="1" x14ac:dyDescent="0.25">
      <c r="A8" s="49" t="s">
        <v>12</v>
      </c>
      <c r="B8" s="44"/>
    </row>
    <row r="9" spans="1:2" x14ac:dyDescent="0.25">
      <c r="A9" s="1"/>
      <c r="B9" s="1"/>
    </row>
    <row r="10" spans="1:2" x14ac:dyDescent="0.25">
      <c r="A10" s="1"/>
      <c r="B10" s="1"/>
    </row>
    <row r="11" spans="1:2" ht="26.1" customHeight="1" x14ac:dyDescent="0.3">
      <c r="A11" s="51" t="s">
        <v>13</v>
      </c>
      <c r="B11" s="44"/>
    </row>
    <row r="12" spans="1:2" x14ac:dyDescent="0.25">
      <c r="A12" s="50" t="s">
        <v>14</v>
      </c>
      <c r="B12" s="44"/>
    </row>
    <row r="13" spans="1:2" x14ac:dyDescent="0.25">
      <c r="A13" s="50" t="s">
        <v>15</v>
      </c>
      <c r="B13" s="44"/>
    </row>
    <row r="14" spans="1:2" x14ac:dyDescent="0.25">
      <c r="A14" s="50" t="s">
        <v>16</v>
      </c>
      <c r="B14" s="44"/>
    </row>
    <row r="15" spans="1:2" x14ac:dyDescent="0.25">
      <c r="A15" s="50" t="s">
        <v>17</v>
      </c>
      <c r="B15" s="44"/>
    </row>
    <row r="16" spans="1:2" x14ac:dyDescent="0.25">
      <c r="A16" s="1"/>
      <c r="B16" s="1"/>
    </row>
    <row r="17" spans="1:2" ht="26.1" customHeight="1" x14ac:dyDescent="0.3">
      <c r="A17" s="52" t="s">
        <v>18</v>
      </c>
      <c r="B17" s="44"/>
    </row>
    <row r="18" spans="1:2" x14ac:dyDescent="0.25">
      <c r="A18" s="50" t="s">
        <v>19</v>
      </c>
      <c r="B18" s="44"/>
    </row>
    <row r="19" spans="1:2" x14ac:dyDescent="0.25">
      <c r="A19" s="50" t="s">
        <v>20</v>
      </c>
      <c r="B19" s="44"/>
    </row>
    <row r="20" spans="1:2" x14ac:dyDescent="0.25">
      <c r="A20" s="50" t="s">
        <v>21</v>
      </c>
      <c r="B20" s="44"/>
    </row>
    <row r="21" spans="1:2" x14ac:dyDescent="0.25">
      <c r="A21" s="50" t="s">
        <v>22</v>
      </c>
      <c r="B21" s="44"/>
    </row>
    <row r="22" spans="1:2" x14ac:dyDescent="0.25">
      <c r="A22" s="50" t="s">
        <v>23</v>
      </c>
      <c r="B22" s="44"/>
    </row>
    <row r="23" spans="1:2" x14ac:dyDescent="0.25">
      <c r="A23" s="1"/>
      <c r="B23" s="1"/>
    </row>
    <row r="24" spans="1:2" x14ac:dyDescent="0.25">
      <c r="A24" s="1"/>
      <c r="B24" s="1"/>
    </row>
    <row r="25" spans="1:2" x14ac:dyDescent="0.25">
      <c r="A25" s="1"/>
      <c r="B25" s="1"/>
    </row>
    <row r="26" spans="1:2" x14ac:dyDescent="0.25">
      <c r="A26" s="1"/>
      <c r="B26" s="1"/>
    </row>
  </sheetData>
  <mergeCells count="15">
    <mergeCell ref="A1:B2"/>
    <mergeCell ref="A8:B8"/>
    <mergeCell ref="A6:B6"/>
    <mergeCell ref="A22:B22"/>
    <mergeCell ref="A12:B12"/>
    <mergeCell ref="A4:B4"/>
    <mergeCell ref="A20:B20"/>
    <mergeCell ref="A21:B21"/>
    <mergeCell ref="A15:B15"/>
    <mergeCell ref="A19:B19"/>
    <mergeCell ref="A11:B11"/>
    <mergeCell ref="A13:B13"/>
    <mergeCell ref="A14:B14"/>
    <mergeCell ref="A18:B18"/>
    <mergeCell ref="A17:B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workbookViewId="0">
      <selection activeCell="F25" sqref="F25"/>
    </sheetView>
  </sheetViews>
  <sheetFormatPr defaultRowHeight="15" x14ac:dyDescent="0.25"/>
  <cols>
    <col min="1" max="1" width="18" customWidth="1"/>
    <col min="2" max="2" width="10" customWidth="1"/>
    <col min="3" max="4" width="12" customWidth="1"/>
    <col min="5" max="5" width="4" customWidth="1"/>
    <col min="6" max="6" width="66.28515625" customWidth="1"/>
  </cols>
  <sheetData>
    <row r="1" spans="1:6" ht="21.95" customHeight="1" x14ac:dyDescent="0.25">
      <c r="A1" s="45" t="s">
        <v>219</v>
      </c>
      <c r="B1" s="44"/>
      <c r="C1" s="44"/>
      <c r="D1" s="44"/>
      <c r="E1" s="44"/>
      <c r="F1" s="44"/>
    </row>
    <row r="2" spans="1:6" ht="21.95" customHeight="1" x14ac:dyDescent="0.25">
      <c r="A2" s="46"/>
      <c r="B2" s="46"/>
      <c r="C2" s="46"/>
      <c r="D2" s="46"/>
      <c r="E2" s="46"/>
      <c r="F2" s="46"/>
    </row>
    <row r="3" spans="1:6" x14ac:dyDescent="0.25">
      <c r="A3" s="1"/>
      <c r="B3" s="1"/>
      <c r="C3" s="1"/>
      <c r="D3" s="1"/>
      <c r="E3" s="1"/>
      <c r="F3" s="1"/>
    </row>
    <row r="4" spans="1:6" ht="26.1" customHeight="1" x14ac:dyDescent="0.3">
      <c r="A4" s="51" t="s">
        <v>24</v>
      </c>
      <c r="B4" s="44"/>
      <c r="C4" s="44"/>
      <c r="D4" s="44"/>
      <c r="E4" s="44"/>
      <c r="F4" s="44"/>
    </row>
    <row r="5" spans="1:6" ht="30" customHeight="1" x14ac:dyDescent="0.25">
      <c r="A5" s="6">
        <v>1</v>
      </c>
      <c r="B5" s="53" t="s">
        <v>25</v>
      </c>
      <c r="C5" s="44"/>
      <c r="D5" s="44"/>
      <c r="E5" s="44"/>
      <c r="F5" s="44"/>
    </row>
    <row r="6" spans="1:6" ht="30" customHeight="1" x14ac:dyDescent="0.25">
      <c r="A6" s="6">
        <v>2</v>
      </c>
      <c r="B6" s="54" t="s">
        <v>26</v>
      </c>
      <c r="C6" s="44"/>
      <c r="D6" s="44"/>
      <c r="E6" s="44"/>
      <c r="F6" s="44"/>
    </row>
    <row r="7" spans="1:6" ht="30" customHeight="1" x14ac:dyDescent="0.25">
      <c r="A7" s="6">
        <v>3</v>
      </c>
      <c r="B7" s="53" t="s">
        <v>27</v>
      </c>
      <c r="C7" s="44"/>
      <c r="D7" s="44"/>
      <c r="E7" s="44"/>
      <c r="F7" s="44"/>
    </row>
    <row r="8" spans="1:6" ht="30" customHeight="1" x14ac:dyDescent="0.25">
      <c r="A8" s="6">
        <v>4</v>
      </c>
      <c r="B8" s="54" t="s">
        <v>28</v>
      </c>
      <c r="C8" s="44"/>
      <c r="D8" s="44"/>
      <c r="E8" s="44"/>
      <c r="F8" s="44"/>
    </row>
    <row r="9" spans="1:6" ht="30" customHeight="1" x14ac:dyDescent="0.25">
      <c r="A9" s="6">
        <v>5</v>
      </c>
      <c r="B9" s="53" t="s">
        <v>29</v>
      </c>
      <c r="C9" s="44"/>
      <c r="D9" s="44"/>
      <c r="E9" s="44"/>
      <c r="F9" s="44"/>
    </row>
    <row r="10" spans="1:6" ht="30" customHeight="1" x14ac:dyDescent="0.25">
      <c r="A10" s="6">
        <v>6</v>
      </c>
      <c r="B10" s="54" t="s">
        <v>30</v>
      </c>
      <c r="C10" s="44"/>
      <c r="D10" s="44"/>
      <c r="E10" s="44"/>
      <c r="F10" s="44"/>
    </row>
    <row r="11" spans="1:6" x14ac:dyDescent="0.25">
      <c r="A11" s="1"/>
      <c r="B11" s="1"/>
      <c r="C11" s="1"/>
      <c r="D11" s="1"/>
      <c r="E11" s="1"/>
      <c r="F11" s="1"/>
    </row>
    <row r="12" spans="1:6" ht="26.1" customHeight="1" x14ac:dyDescent="0.3">
      <c r="A12" s="52" t="s">
        <v>31</v>
      </c>
      <c r="B12" s="44"/>
      <c r="C12" s="44"/>
      <c r="D12" s="44"/>
      <c r="E12" s="44"/>
      <c r="F12" s="44"/>
    </row>
    <row r="13" spans="1:6" x14ac:dyDescent="0.25">
      <c r="A13" s="7" t="s">
        <v>32</v>
      </c>
      <c r="B13" s="7" t="s">
        <v>33</v>
      </c>
      <c r="C13" s="7" t="s">
        <v>34</v>
      </c>
      <c r="D13" s="7" t="s">
        <v>35</v>
      </c>
      <c r="E13" s="1"/>
      <c r="F13" s="1"/>
    </row>
    <row r="14" spans="1:6" ht="21.95" customHeight="1" x14ac:dyDescent="0.25">
      <c r="A14" s="8" t="s">
        <v>36</v>
      </c>
      <c r="B14" s="9">
        <v>4</v>
      </c>
      <c r="C14" s="9" t="s">
        <v>37</v>
      </c>
      <c r="D14" s="9" t="s">
        <v>38</v>
      </c>
      <c r="E14" s="1"/>
      <c r="F14" s="1"/>
    </row>
    <row r="15" spans="1:6" ht="21.95" customHeight="1" x14ac:dyDescent="0.25">
      <c r="A15" s="10" t="s">
        <v>39</v>
      </c>
      <c r="B15" s="11">
        <v>3</v>
      </c>
      <c r="C15" s="11" t="s">
        <v>40</v>
      </c>
      <c r="D15" s="11" t="s">
        <v>38</v>
      </c>
      <c r="E15" s="1"/>
      <c r="F15" s="1"/>
    </row>
    <row r="16" spans="1:6" ht="21.95" customHeight="1" x14ac:dyDescent="0.25">
      <c r="A16" s="8" t="s">
        <v>41</v>
      </c>
      <c r="B16" s="9">
        <v>5</v>
      </c>
      <c r="C16" s="9" t="s">
        <v>42</v>
      </c>
      <c r="D16" s="9" t="s">
        <v>38</v>
      </c>
      <c r="E16" s="1"/>
      <c r="F16" s="1"/>
    </row>
    <row r="17" spans="1:6" ht="21.95" customHeight="1" x14ac:dyDescent="0.25">
      <c r="A17" s="10" t="s">
        <v>43</v>
      </c>
      <c r="B17" s="11"/>
      <c r="C17" s="11" t="s">
        <v>44</v>
      </c>
      <c r="D17" s="11" t="s">
        <v>38</v>
      </c>
      <c r="E17" s="1"/>
      <c r="F17" s="1"/>
    </row>
    <row r="18" spans="1:6" ht="21.95" customHeight="1" x14ac:dyDescent="0.25">
      <c r="A18" s="8" t="s">
        <v>45</v>
      </c>
      <c r="B18" s="9">
        <v>4</v>
      </c>
      <c r="C18" s="9" t="s">
        <v>46</v>
      </c>
      <c r="D18" s="9" t="s">
        <v>38</v>
      </c>
      <c r="E18" s="1"/>
      <c r="F18" s="1"/>
    </row>
    <row r="19" spans="1:6" ht="21.95" customHeight="1" x14ac:dyDescent="0.25">
      <c r="A19" s="10" t="s">
        <v>47</v>
      </c>
      <c r="B19" s="11">
        <v>3</v>
      </c>
      <c r="C19" s="11" t="s">
        <v>44</v>
      </c>
      <c r="D19" s="11" t="s">
        <v>38</v>
      </c>
      <c r="E19" s="1"/>
      <c r="F19" s="1"/>
    </row>
    <row r="20" spans="1:6" ht="21.95" customHeight="1" x14ac:dyDescent="0.25">
      <c r="A20" s="8" t="s">
        <v>36</v>
      </c>
      <c r="B20" s="9">
        <v>4</v>
      </c>
      <c r="C20" s="9" t="s">
        <v>37</v>
      </c>
      <c r="D20" s="9" t="s">
        <v>38</v>
      </c>
      <c r="E20" s="1"/>
      <c r="F20" s="1"/>
    </row>
    <row r="21" spans="1:6" ht="21.95" customHeight="1" x14ac:dyDescent="0.25">
      <c r="A21" s="12" t="s">
        <v>48</v>
      </c>
      <c r="B21" s="13">
        <v>12</v>
      </c>
      <c r="C21" s="13" t="s">
        <v>44</v>
      </c>
      <c r="D21" s="13" t="s">
        <v>49</v>
      </c>
      <c r="E21" s="1"/>
      <c r="F21" s="1"/>
    </row>
    <row r="22" spans="1:6" x14ac:dyDescent="0.25">
      <c r="A22" s="1"/>
      <c r="B22" s="1"/>
      <c r="C22" s="1"/>
      <c r="D22" s="1"/>
      <c r="E22" s="1"/>
      <c r="F22" s="1"/>
    </row>
    <row r="23" spans="1:6" x14ac:dyDescent="0.25">
      <c r="A23" s="1"/>
      <c r="B23" s="1"/>
      <c r="C23" s="1"/>
      <c r="D23" s="1"/>
      <c r="E23" s="1"/>
      <c r="F23" s="1"/>
    </row>
    <row r="24" spans="1:6" x14ac:dyDescent="0.25">
      <c r="A24" s="1"/>
      <c r="B24" s="1"/>
      <c r="C24" s="1"/>
      <c r="D24" s="1"/>
      <c r="E24" s="1"/>
      <c r="F24" s="1"/>
    </row>
  </sheetData>
  <mergeCells count="9">
    <mergeCell ref="A12:F12"/>
    <mergeCell ref="A4:F4"/>
    <mergeCell ref="B8:F8"/>
    <mergeCell ref="B9:F9"/>
    <mergeCell ref="B7:F7"/>
    <mergeCell ref="B6:F6"/>
    <mergeCell ref="B10:F10"/>
    <mergeCell ref="A1:F2"/>
    <mergeCell ref="B5:F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0"/>
  <sheetViews>
    <sheetView workbookViewId="0">
      <pane ySplit="4" topLeftCell="A86" activePane="bottomLeft" state="frozen"/>
      <selection pane="bottomLeft" activeCell="H28" sqref="H28"/>
    </sheetView>
  </sheetViews>
  <sheetFormatPr defaultRowHeight="15" x14ac:dyDescent="0.25"/>
  <cols>
    <col min="1" max="1" width="44.5703125" customWidth="1"/>
    <col min="2" max="2" width="21" customWidth="1"/>
    <col min="3" max="3" width="22.42578125" customWidth="1"/>
    <col min="4" max="4" width="21.42578125" customWidth="1"/>
  </cols>
  <sheetData>
    <row r="1" spans="1:4" ht="21.95" customHeight="1" x14ac:dyDescent="0.25">
      <c r="A1" s="45" t="s">
        <v>50</v>
      </c>
      <c r="B1" s="44"/>
      <c r="C1" s="44"/>
      <c r="D1" s="44"/>
    </row>
    <row r="2" spans="1:4" ht="21.95" customHeight="1" x14ac:dyDescent="0.25">
      <c r="A2" s="46"/>
      <c r="B2" s="46"/>
      <c r="C2" s="46"/>
      <c r="D2" s="46"/>
    </row>
    <row r="3" spans="1:4" ht="30" customHeight="1" x14ac:dyDescent="0.25">
      <c r="A3" s="55" t="s">
        <v>51</v>
      </c>
      <c r="B3" s="44"/>
      <c r="C3" s="44"/>
      <c r="D3" s="44"/>
    </row>
    <row r="4" spans="1:4" x14ac:dyDescent="0.25">
      <c r="A4" s="6" t="s">
        <v>32</v>
      </c>
      <c r="B4" s="6" t="s">
        <v>33</v>
      </c>
      <c r="C4" s="6" t="s">
        <v>34</v>
      </c>
      <c r="D4" s="6" t="s">
        <v>35</v>
      </c>
    </row>
    <row r="5" spans="1:4" x14ac:dyDescent="0.25">
      <c r="A5" s="14" t="s">
        <v>45</v>
      </c>
      <c r="B5" s="15"/>
      <c r="C5" s="15" t="s">
        <v>52</v>
      </c>
      <c r="D5" s="15" t="s">
        <v>38</v>
      </c>
    </row>
    <row r="6" spans="1:4" x14ac:dyDescent="0.25">
      <c r="A6" s="16" t="s">
        <v>53</v>
      </c>
      <c r="B6" s="17">
        <v>6</v>
      </c>
      <c r="C6" s="17" t="s">
        <v>46</v>
      </c>
      <c r="D6" s="17" t="s">
        <v>38</v>
      </c>
    </row>
    <row r="7" spans="1:4" x14ac:dyDescent="0.25">
      <c r="A7" s="14" t="s">
        <v>54</v>
      </c>
      <c r="B7" s="15"/>
      <c r="C7" s="15" t="s">
        <v>52</v>
      </c>
      <c r="D7" s="15" t="s">
        <v>38</v>
      </c>
    </row>
    <row r="8" spans="1:4" x14ac:dyDescent="0.25">
      <c r="A8" s="16" t="s">
        <v>55</v>
      </c>
      <c r="B8" s="17"/>
      <c r="C8" s="17" t="s">
        <v>44</v>
      </c>
      <c r="D8" s="17" t="s">
        <v>38</v>
      </c>
    </row>
    <row r="9" spans="1:4" x14ac:dyDescent="0.25">
      <c r="A9" s="14" t="s">
        <v>56</v>
      </c>
      <c r="B9" s="15">
        <v>3</v>
      </c>
      <c r="C9" s="15" t="s">
        <v>42</v>
      </c>
      <c r="D9" s="15" t="s">
        <v>38</v>
      </c>
    </row>
    <row r="10" spans="1:4" x14ac:dyDescent="0.25">
      <c r="A10" s="16" t="s">
        <v>57</v>
      </c>
      <c r="B10" s="17">
        <v>4</v>
      </c>
      <c r="C10" s="17" t="s">
        <v>42</v>
      </c>
      <c r="D10" s="17" t="s">
        <v>38</v>
      </c>
    </row>
    <row r="11" spans="1:4" x14ac:dyDescent="0.25">
      <c r="A11" s="14" t="s">
        <v>58</v>
      </c>
      <c r="B11" s="15">
        <v>4</v>
      </c>
      <c r="C11" s="15" t="s">
        <v>37</v>
      </c>
      <c r="D11" s="15" t="s">
        <v>38</v>
      </c>
    </row>
    <row r="12" spans="1:4" x14ac:dyDescent="0.25">
      <c r="A12" s="16" t="s">
        <v>59</v>
      </c>
      <c r="B12" s="17"/>
      <c r="C12" s="17" t="s">
        <v>37</v>
      </c>
      <c r="D12" s="17" t="s">
        <v>38</v>
      </c>
    </row>
    <row r="13" spans="1:4" x14ac:dyDescent="0.25">
      <c r="A13" s="14" t="s">
        <v>60</v>
      </c>
      <c r="B13" s="15">
        <v>3</v>
      </c>
      <c r="C13" s="15" t="s">
        <v>37</v>
      </c>
      <c r="D13" s="15" t="s">
        <v>38</v>
      </c>
    </row>
    <row r="14" spans="1:4" x14ac:dyDescent="0.25">
      <c r="A14" s="16" t="s">
        <v>61</v>
      </c>
      <c r="B14" s="17">
        <v>13</v>
      </c>
      <c r="C14" s="17" t="s">
        <v>62</v>
      </c>
      <c r="D14" s="17" t="s">
        <v>49</v>
      </c>
    </row>
    <row r="15" spans="1:4" x14ac:dyDescent="0.25">
      <c r="A15" s="14" t="s">
        <v>63</v>
      </c>
      <c r="B15" s="15"/>
      <c r="C15" s="15" t="s">
        <v>42</v>
      </c>
      <c r="D15" s="15" t="s">
        <v>38</v>
      </c>
    </row>
    <row r="16" spans="1:4" x14ac:dyDescent="0.25">
      <c r="A16" s="16" t="s">
        <v>64</v>
      </c>
      <c r="B16" s="17">
        <v>4</v>
      </c>
      <c r="C16" s="17" t="s">
        <v>46</v>
      </c>
      <c r="D16" s="17" t="s">
        <v>38</v>
      </c>
    </row>
    <row r="17" spans="1:4" x14ac:dyDescent="0.25">
      <c r="A17" s="14" t="s">
        <v>65</v>
      </c>
      <c r="B17" s="15">
        <v>3</v>
      </c>
      <c r="C17" s="15" t="s">
        <v>52</v>
      </c>
      <c r="D17" s="15" t="s">
        <v>38</v>
      </c>
    </row>
    <row r="18" spans="1:4" x14ac:dyDescent="0.25">
      <c r="A18" s="16" t="s">
        <v>66</v>
      </c>
      <c r="B18" s="17">
        <v>6</v>
      </c>
      <c r="C18" s="17" t="s">
        <v>67</v>
      </c>
      <c r="D18" s="17" t="s">
        <v>38</v>
      </c>
    </row>
    <row r="19" spans="1:4" x14ac:dyDescent="0.25">
      <c r="A19" s="14" t="s">
        <v>68</v>
      </c>
      <c r="B19" s="15">
        <v>4</v>
      </c>
      <c r="C19" s="15" t="s">
        <v>37</v>
      </c>
      <c r="D19" s="15" t="s">
        <v>38</v>
      </c>
    </row>
    <row r="20" spans="1:4" x14ac:dyDescent="0.25">
      <c r="A20" s="16" t="s">
        <v>69</v>
      </c>
      <c r="B20" s="17">
        <v>3</v>
      </c>
      <c r="C20" s="17" t="s">
        <v>67</v>
      </c>
      <c r="D20" s="17" t="s">
        <v>38</v>
      </c>
    </row>
    <row r="21" spans="1:4" x14ac:dyDescent="0.25">
      <c r="A21" s="14" t="s">
        <v>70</v>
      </c>
      <c r="B21" s="15">
        <v>3</v>
      </c>
      <c r="C21" s="15" t="s">
        <v>37</v>
      </c>
      <c r="D21" s="15" t="s">
        <v>38</v>
      </c>
    </row>
    <row r="22" spans="1:4" x14ac:dyDescent="0.25">
      <c r="A22" s="16" t="s">
        <v>71</v>
      </c>
      <c r="B22" s="17">
        <v>4</v>
      </c>
      <c r="C22" s="17" t="s">
        <v>67</v>
      </c>
      <c r="D22" s="17" t="s">
        <v>38</v>
      </c>
    </row>
    <row r="23" spans="1:4" x14ac:dyDescent="0.25">
      <c r="A23" s="14" t="s">
        <v>72</v>
      </c>
      <c r="B23" s="15">
        <v>6</v>
      </c>
      <c r="C23" s="15" t="s">
        <v>67</v>
      </c>
      <c r="D23" s="15" t="s">
        <v>38</v>
      </c>
    </row>
    <row r="24" spans="1:4" x14ac:dyDescent="0.25">
      <c r="A24" s="16" t="s">
        <v>73</v>
      </c>
      <c r="B24" s="17">
        <v>2</v>
      </c>
      <c r="C24" s="17" t="s">
        <v>46</v>
      </c>
      <c r="D24" s="17" t="s">
        <v>38</v>
      </c>
    </row>
    <row r="25" spans="1:4" x14ac:dyDescent="0.25">
      <c r="A25" s="14" t="s">
        <v>74</v>
      </c>
      <c r="B25" s="15">
        <v>2</v>
      </c>
      <c r="C25" s="15" t="s">
        <v>42</v>
      </c>
      <c r="D25" s="15" t="s">
        <v>38</v>
      </c>
    </row>
    <row r="26" spans="1:4" x14ac:dyDescent="0.25">
      <c r="A26" s="16" t="s">
        <v>75</v>
      </c>
      <c r="B26" s="17"/>
      <c r="C26" s="17" t="s">
        <v>37</v>
      </c>
      <c r="D26" s="17" t="s">
        <v>38</v>
      </c>
    </row>
    <row r="27" spans="1:4" x14ac:dyDescent="0.25">
      <c r="A27" s="14" t="s">
        <v>76</v>
      </c>
      <c r="B27" s="15">
        <v>6</v>
      </c>
      <c r="C27" s="15" t="s">
        <v>44</v>
      </c>
      <c r="D27" s="15" t="s">
        <v>38</v>
      </c>
    </row>
    <row r="28" spans="1:4" x14ac:dyDescent="0.25">
      <c r="A28" s="16" t="s">
        <v>77</v>
      </c>
      <c r="B28" s="17">
        <v>2</v>
      </c>
      <c r="C28" s="17" t="s">
        <v>37</v>
      </c>
      <c r="D28" s="17" t="s">
        <v>38</v>
      </c>
    </row>
    <row r="29" spans="1:4" x14ac:dyDescent="0.25">
      <c r="A29" s="14" t="s">
        <v>57</v>
      </c>
      <c r="B29" s="15">
        <v>4</v>
      </c>
      <c r="C29" s="15" t="s">
        <v>42</v>
      </c>
      <c r="D29" s="15" t="s">
        <v>38</v>
      </c>
    </row>
    <row r="30" spans="1:4" x14ac:dyDescent="0.25">
      <c r="A30" s="16" t="s">
        <v>78</v>
      </c>
      <c r="B30" s="17">
        <v>5</v>
      </c>
      <c r="C30" s="17" t="s">
        <v>37</v>
      </c>
      <c r="D30" s="17" t="s">
        <v>38</v>
      </c>
    </row>
    <row r="31" spans="1:4" x14ac:dyDescent="0.25">
      <c r="A31" s="14" t="s">
        <v>79</v>
      </c>
      <c r="B31" s="15">
        <v>4</v>
      </c>
      <c r="C31" s="15" t="s">
        <v>42</v>
      </c>
      <c r="D31" s="15" t="s">
        <v>38</v>
      </c>
    </row>
    <row r="32" spans="1:4" x14ac:dyDescent="0.25">
      <c r="A32" s="16" t="s">
        <v>80</v>
      </c>
      <c r="B32" s="17">
        <v>2</v>
      </c>
      <c r="C32" s="17" t="s">
        <v>42</v>
      </c>
      <c r="D32" s="17" t="s">
        <v>38</v>
      </c>
    </row>
    <row r="33" spans="1:4" x14ac:dyDescent="0.25">
      <c r="A33" s="14" t="s">
        <v>81</v>
      </c>
      <c r="B33" s="15">
        <v>4</v>
      </c>
      <c r="C33" s="15" t="s">
        <v>62</v>
      </c>
      <c r="D33" s="15" t="s">
        <v>38</v>
      </c>
    </row>
    <row r="34" spans="1:4" x14ac:dyDescent="0.25">
      <c r="A34" s="16" t="s">
        <v>82</v>
      </c>
      <c r="B34" s="17">
        <v>5</v>
      </c>
      <c r="C34" s="17" t="s">
        <v>37</v>
      </c>
      <c r="D34" s="17" t="s">
        <v>38</v>
      </c>
    </row>
    <row r="35" spans="1:4" x14ac:dyDescent="0.25">
      <c r="A35" s="14" t="s">
        <v>83</v>
      </c>
      <c r="B35" s="15">
        <v>6</v>
      </c>
      <c r="C35" s="15" t="s">
        <v>44</v>
      </c>
      <c r="D35" s="15" t="s">
        <v>38</v>
      </c>
    </row>
    <row r="36" spans="1:4" x14ac:dyDescent="0.25">
      <c r="A36" s="16" t="s">
        <v>84</v>
      </c>
      <c r="B36" s="17">
        <v>3</v>
      </c>
      <c r="C36" s="17" t="s">
        <v>52</v>
      </c>
      <c r="D36" s="17" t="s">
        <v>38</v>
      </c>
    </row>
    <row r="37" spans="1:4" x14ac:dyDescent="0.25">
      <c r="A37" s="14" t="s">
        <v>85</v>
      </c>
      <c r="B37" s="15">
        <v>5</v>
      </c>
      <c r="C37" s="15" t="s">
        <v>37</v>
      </c>
      <c r="D37" s="15" t="s">
        <v>38</v>
      </c>
    </row>
    <row r="38" spans="1:4" x14ac:dyDescent="0.25">
      <c r="A38" s="16" t="s">
        <v>86</v>
      </c>
      <c r="B38" s="17"/>
      <c r="C38" s="17" t="s">
        <v>46</v>
      </c>
      <c r="D38" s="17" t="s">
        <v>38</v>
      </c>
    </row>
    <row r="39" spans="1:4" x14ac:dyDescent="0.25">
      <c r="A39" s="14" t="s">
        <v>87</v>
      </c>
      <c r="B39" s="15">
        <v>2</v>
      </c>
      <c r="C39" s="15" t="s">
        <v>44</v>
      </c>
      <c r="D39" s="15" t="s">
        <v>38</v>
      </c>
    </row>
    <row r="40" spans="1:4" x14ac:dyDescent="0.25">
      <c r="A40" s="16" t="s">
        <v>48</v>
      </c>
      <c r="B40" s="17">
        <v>2</v>
      </c>
      <c r="C40" s="17" t="s">
        <v>37</v>
      </c>
      <c r="D40" s="17" t="s">
        <v>38</v>
      </c>
    </row>
    <row r="41" spans="1:4" x14ac:dyDescent="0.25">
      <c r="A41" s="14" t="s">
        <v>88</v>
      </c>
      <c r="B41" s="15">
        <v>2</v>
      </c>
      <c r="C41" s="15" t="s">
        <v>37</v>
      </c>
      <c r="D41" s="15" t="s">
        <v>38</v>
      </c>
    </row>
    <row r="42" spans="1:4" x14ac:dyDescent="0.25">
      <c r="A42" s="16" t="s">
        <v>89</v>
      </c>
      <c r="B42" s="17">
        <v>2</v>
      </c>
      <c r="C42" s="17" t="s">
        <v>67</v>
      </c>
      <c r="D42" s="17" t="s">
        <v>38</v>
      </c>
    </row>
    <row r="43" spans="1:4" x14ac:dyDescent="0.25">
      <c r="A43" s="14" t="s">
        <v>90</v>
      </c>
      <c r="B43" s="15">
        <v>6</v>
      </c>
      <c r="C43" s="15" t="s">
        <v>52</v>
      </c>
      <c r="D43" s="15" t="s">
        <v>38</v>
      </c>
    </row>
    <row r="44" spans="1:4" x14ac:dyDescent="0.25">
      <c r="A44" s="16" t="s">
        <v>91</v>
      </c>
      <c r="B44" s="17">
        <v>9</v>
      </c>
      <c r="C44" s="17" t="s">
        <v>37</v>
      </c>
      <c r="D44" s="17" t="s">
        <v>49</v>
      </c>
    </row>
    <row r="45" spans="1:4" x14ac:dyDescent="0.25">
      <c r="A45" s="14" t="s">
        <v>92</v>
      </c>
      <c r="B45" s="15">
        <v>5</v>
      </c>
      <c r="C45" s="15" t="s">
        <v>46</v>
      </c>
      <c r="D45" s="15" t="s">
        <v>38</v>
      </c>
    </row>
    <row r="46" spans="1:4" x14ac:dyDescent="0.25">
      <c r="A46" s="16" t="s">
        <v>58</v>
      </c>
      <c r="B46" s="17">
        <v>4</v>
      </c>
      <c r="C46" s="17" t="s">
        <v>37</v>
      </c>
      <c r="D46" s="17" t="s">
        <v>38</v>
      </c>
    </row>
    <row r="47" spans="1:4" x14ac:dyDescent="0.25">
      <c r="A47" s="14" t="s">
        <v>93</v>
      </c>
      <c r="B47" s="15">
        <v>2</v>
      </c>
      <c r="C47" s="15" t="s">
        <v>67</v>
      </c>
      <c r="D47" s="15" t="s">
        <v>38</v>
      </c>
    </row>
    <row r="48" spans="1:4" x14ac:dyDescent="0.25">
      <c r="A48" s="16" t="s">
        <v>94</v>
      </c>
      <c r="B48" s="17">
        <v>5</v>
      </c>
      <c r="C48" s="17" t="s">
        <v>37</v>
      </c>
      <c r="D48" s="17" t="s">
        <v>38</v>
      </c>
    </row>
    <row r="49" spans="1:4" x14ac:dyDescent="0.25">
      <c r="A49" s="14" t="s">
        <v>95</v>
      </c>
      <c r="B49" s="15">
        <v>6</v>
      </c>
      <c r="C49" s="15" t="s">
        <v>62</v>
      </c>
      <c r="D49" s="15" t="s">
        <v>38</v>
      </c>
    </row>
    <row r="50" spans="1:4" x14ac:dyDescent="0.25">
      <c r="A50" s="16" t="s">
        <v>96</v>
      </c>
      <c r="B50" s="17">
        <v>4</v>
      </c>
      <c r="C50" s="17" t="s">
        <v>44</v>
      </c>
      <c r="D50" s="17" t="s">
        <v>38</v>
      </c>
    </row>
    <row r="51" spans="1:4" x14ac:dyDescent="0.25">
      <c r="A51" s="14" t="s">
        <v>97</v>
      </c>
      <c r="B51" s="15">
        <v>5</v>
      </c>
      <c r="C51" s="15" t="s">
        <v>67</v>
      </c>
      <c r="D51" s="15" t="s">
        <v>38</v>
      </c>
    </row>
    <row r="52" spans="1:4" x14ac:dyDescent="0.25">
      <c r="A52" s="16" t="s">
        <v>48</v>
      </c>
      <c r="B52" s="17">
        <v>2</v>
      </c>
      <c r="C52" s="17" t="s">
        <v>37</v>
      </c>
      <c r="D52" s="17" t="s">
        <v>38</v>
      </c>
    </row>
    <row r="53" spans="1:4" x14ac:dyDescent="0.25">
      <c r="A53" s="14" t="s">
        <v>98</v>
      </c>
      <c r="B53" s="15">
        <v>15</v>
      </c>
      <c r="C53" s="15" t="s">
        <v>52</v>
      </c>
      <c r="D53" s="15" t="s">
        <v>49</v>
      </c>
    </row>
    <row r="54" spans="1:4" x14ac:dyDescent="0.25">
      <c r="A54" s="16" t="s">
        <v>99</v>
      </c>
      <c r="B54" s="17"/>
      <c r="C54" s="17" t="s">
        <v>52</v>
      </c>
      <c r="D54" s="17" t="s">
        <v>38</v>
      </c>
    </row>
    <row r="55" spans="1:4" x14ac:dyDescent="0.25">
      <c r="A55" s="14" t="s">
        <v>100</v>
      </c>
      <c r="B55" s="15">
        <v>5</v>
      </c>
      <c r="C55" s="15" t="s">
        <v>46</v>
      </c>
      <c r="D55" s="15" t="s">
        <v>38</v>
      </c>
    </row>
    <row r="56" spans="1:4" x14ac:dyDescent="0.25">
      <c r="A56" s="16" t="s">
        <v>101</v>
      </c>
      <c r="B56" s="17">
        <v>13</v>
      </c>
      <c r="C56" s="17" t="s">
        <v>42</v>
      </c>
      <c r="D56" s="17" t="s">
        <v>49</v>
      </c>
    </row>
    <row r="57" spans="1:4" x14ac:dyDescent="0.25">
      <c r="A57" s="14" t="s">
        <v>102</v>
      </c>
      <c r="B57" s="15"/>
      <c r="C57" s="15" t="s">
        <v>42</v>
      </c>
      <c r="D57" s="15" t="s">
        <v>38</v>
      </c>
    </row>
    <row r="58" spans="1:4" x14ac:dyDescent="0.25">
      <c r="A58" s="16" t="s">
        <v>103</v>
      </c>
      <c r="B58" s="17">
        <v>6</v>
      </c>
      <c r="C58" s="17" t="s">
        <v>40</v>
      </c>
      <c r="D58" s="17" t="s">
        <v>38</v>
      </c>
    </row>
    <row r="59" spans="1:4" x14ac:dyDescent="0.25">
      <c r="A59" s="14" t="s">
        <v>104</v>
      </c>
      <c r="B59" s="15"/>
      <c r="C59" s="15" t="s">
        <v>44</v>
      </c>
      <c r="D59" s="15" t="s">
        <v>38</v>
      </c>
    </row>
    <row r="60" spans="1:4" x14ac:dyDescent="0.25">
      <c r="A60" s="16" t="s">
        <v>105</v>
      </c>
      <c r="B60" s="17">
        <v>2</v>
      </c>
      <c r="C60" s="17" t="s">
        <v>44</v>
      </c>
      <c r="D60" s="17" t="s">
        <v>38</v>
      </c>
    </row>
    <row r="61" spans="1:4" x14ac:dyDescent="0.25">
      <c r="A61" s="14" t="s">
        <v>106</v>
      </c>
      <c r="B61" s="15">
        <v>3</v>
      </c>
      <c r="C61" s="15" t="s">
        <v>52</v>
      </c>
      <c r="D61" s="15" t="s">
        <v>38</v>
      </c>
    </row>
    <row r="62" spans="1:4" x14ac:dyDescent="0.25">
      <c r="A62" s="16" t="s">
        <v>107</v>
      </c>
      <c r="B62" s="17">
        <v>2</v>
      </c>
      <c r="C62" s="17" t="s">
        <v>44</v>
      </c>
      <c r="D62" s="17" t="s">
        <v>38</v>
      </c>
    </row>
    <row r="63" spans="1:4" x14ac:dyDescent="0.25">
      <c r="A63" s="14" t="s">
        <v>89</v>
      </c>
      <c r="B63" s="15">
        <v>2</v>
      </c>
      <c r="C63" s="15" t="s">
        <v>67</v>
      </c>
      <c r="D63" s="15" t="s">
        <v>38</v>
      </c>
    </row>
    <row r="64" spans="1:4" x14ac:dyDescent="0.25">
      <c r="A64" s="16" t="s">
        <v>108</v>
      </c>
      <c r="B64" s="17">
        <v>3</v>
      </c>
      <c r="C64" s="17" t="s">
        <v>46</v>
      </c>
      <c r="D64" s="17" t="s">
        <v>38</v>
      </c>
    </row>
    <row r="65" spans="1:4" x14ac:dyDescent="0.25">
      <c r="A65" s="14" t="s">
        <v>109</v>
      </c>
      <c r="B65" s="15">
        <v>2</v>
      </c>
      <c r="C65" s="15" t="s">
        <v>52</v>
      </c>
      <c r="D65" s="15" t="s">
        <v>38</v>
      </c>
    </row>
    <row r="66" spans="1:4" x14ac:dyDescent="0.25">
      <c r="A66" s="16" t="s">
        <v>110</v>
      </c>
      <c r="B66" s="17">
        <v>2</v>
      </c>
      <c r="C66" s="17" t="s">
        <v>46</v>
      </c>
      <c r="D66" s="17" t="s">
        <v>38</v>
      </c>
    </row>
    <row r="67" spans="1:4" x14ac:dyDescent="0.25">
      <c r="A67" s="14" t="s">
        <v>111</v>
      </c>
      <c r="B67" s="15">
        <v>3</v>
      </c>
      <c r="C67" s="15" t="s">
        <v>42</v>
      </c>
      <c r="D67" s="15" t="s">
        <v>38</v>
      </c>
    </row>
    <row r="68" spans="1:4" x14ac:dyDescent="0.25">
      <c r="A68" s="16" t="s">
        <v>112</v>
      </c>
      <c r="B68" s="17">
        <v>4</v>
      </c>
      <c r="C68" s="17" t="s">
        <v>67</v>
      </c>
      <c r="D68" s="17" t="s">
        <v>38</v>
      </c>
    </row>
    <row r="69" spans="1:4" x14ac:dyDescent="0.25">
      <c r="A69" s="14" t="s">
        <v>113</v>
      </c>
      <c r="B69" s="15">
        <v>3</v>
      </c>
      <c r="C69" s="15" t="s">
        <v>46</v>
      </c>
      <c r="D69" s="15" t="s">
        <v>38</v>
      </c>
    </row>
    <row r="70" spans="1:4" x14ac:dyDescent="0.25">
      <c r="A70" s="16" t="s">
        <v>114</v>
      </c>
      <c r="B70" s="17">
        <v>4</v>
      </c>
      <c r="C70" s="17" t="s">
        <v>67</v>
      </c>
      <c r="D70" s="17" t="s">
        <v>38</v>
      </c>
    </row>
    <row r="71" spans="1:4" x14ac:dyDescent="0.25">
      <c r="A71" s="14" t="s">
        <v>115</v>
      </c>
      <c r="B71" s="15">
        <v>2</v>
      </c>
      <c r="C71" s="15" t="s">
        <v>42</v>
      </c>
      <c r="D71" s="15" t="s">
        <v>38</v>
      </c>
    </row>
    <row r="72" spans="1:4" x14ac:dyDescent="0.25">
      <c r="A72" s="16" t="s">
        <v>116</v>
      </c>
      <c r="B72" s="17">
        <v>2</v>
      </c>
      <c r="C72" s="17" t="s">
        <v>46</v>
      </c>
      <c r="D72" s="17" t="s">
        <v>38</v>
      </c>
    </row>
    <row r="73" spans="1:4" x14ac:dyDescent="0.25">
      <c r="A73" s="14" t="s">
        <v>117</v>
      </c>
      <c r="B73" s="15">
        <v>4</v>
      </c>
      <c r="C73" s="15" t="s">
        <v>52</v>
      </c>
      <c r="D73" s="15" t="s">
        <v>38</v>
      </c>
    </row>
    <row r="74" spans="1:4" x14ac:dyDescent="0.25">
      <c r="A74" s="16" t="s">
        <v>118</v>
      </c>
      <c r="B74" s="17">
        <v>6</v>
      </c>
      <c r="C74" s="17" t="s">
        <v>46</v>
      </c>
      <c r="D74" s="17" t="s">
        <v>38</v>
      </c>
    </row>
    <row r="75" spans="1:4" x14ac:dyDescent="0.25">
      <c r="A75" s="14" t="s">
        <v>119</v>
      </c>
      <c r="B75" s="15">
        <v>3</v>
      </c>
      <c r="C75" s="15" t="s">
        <v>44</v>
      </c>
      <c r="D75" s="15" t="s">
        <v>38</v>
      </c>
    </row>
    <row r="76" spans="1:4" x14ac:dyDescent="0.25">
      <c r="A76" s="16" t="s">
        <v>120</v>
      </c>
      <c r="B76" s="17"/>
      <c r="C76" s="17" t="s">
        <v>42</v>
      </c>
      <c r="D76" s="17" t="s">
        <v>38</v>
      </c>
    </row>
    <row r="77" spans="1:4" x14ac:dyDescent="0.25">
      <c r="A77" s="14" t="s">
        <v>121</v>
      </c>
      <c r="B77" s="15">
        <v>3</v>
      </c>
      <c r="C77" s="15" t="s">
        <v>42</v>
      </c>
      <c r="D77" s="15" t="s">
        <v>38</v>
      </c>
    </row>
    <row r="78" spans="1:4" x14ac:dyDescent="0.25">
      <c r="A78" s="16" t="s">
        <v>69</v>
      </c>
      <c r="B78" s="17">
        <v>3</v>
      </c>
      <c r="C78" s="17" t="s">
        <v>67</v>
      </c>
      <c r="D78" s="17" t="s">
        <v>38</v>
      </c>
    </row>
    <row r="79" spans="1:4" x14ac:dyDescent="0.25">
      <c r="A79" s="14" t="s">
        <v>122</v>
      </c>
      <c r="B79" s="15">
        <v>6</v>
      </c>
      <c r="C79" s="15" t="s">
        <v>44</v>
      </c>
      <c r="D79" s="15" t="s">
        <v>38</v>
      </c>
    </row>
    <row r="80" spans="1:4" x14ac:dyDescent="0.25">
      <c r="A80" s="16" t="s">
        <v>123</v>
      </c>
      <c r="B80" s="17">
        <v>3</v>
      </c>
      <c r="C80" s="17" t="s">
        <v>62</v>
      </c>
      <c r="D80" s="17" t="s">
        <v>38</v>
      </c>
    </row>
    <row r="81" spans="1:4" x14ac:dyDescent="0.25">
      <c r="A81" s="14" t="s">
        <v>124</v>
      </c>
      <c r="B81" s="15">
        <v>5</v>
      </c>
      <c r="C81" s="15" t="s">
        <v>40</v>
      </c>
      <c r="D81" s="15" t="s">
        <v>38</v>
      </c>
    </row>
    <row r="82" spans="1:4" x14ac:dyDescent="0.25">
      <c r="A82" s="16" t="s">
        <v>65</v>
      </c>
      <c r="B82" s="17">
        <v>3</v>
      </c>
      <c r="C82" s="17" t="s">
        <v>52</v>
      </c>
      <c r="D82" s="17" t="s">
        <v>38</v>
      </c>
    </row>
    <row r="83" spans="1:4" x14ac:dyDescent="0.25">
      <c r="A83" s="14" t="s">
        <v>125</v>
      </c>
      <c r="B83" s="15">
        <v>5</v>
      </c>
      <c r="C83" s="15" t="s">
        <v>40</v>
      </c>
      <c r="D83" s="15" t="s">
        <v>38</v>
      </c>
    </row>
    <row r="84" spans="1:4" x14ac:dyDescent="0.25">
      <c r="A84" s="16" t="s">
        <v>126</v>
      </c>
      <c r="B84" s="17">
        <v>5</v>
      </c>
      <c r="C84" s="17" t="s">
        <v>37</v>
      </c>
      <c r="D84" s="17" t="s">
        <v>38</v>
      </c>
    </row>
    <row r="85" spans="1:4" x14ac:dyDescent="0.25">
      <c r="A85" s="14" t="s">
        <v>127</v>
      </c>
      <c r="B85" s="15">
        <v>6</v>
      </c>
      <c r="C85" s="15" t="s">
        <v>40</v>
      </c>
      <c r="D85" s="15" t="s">
        <v>38</v>
      </c>
    </row>
    <row r="86" spans="1:4" x14ac:dyDescent="0.25">
      <c r="A86" s="16" t="s">
        <v>128</v>
      </c>
      <c r="B86" s="17">
        <v>3</v>
      </c>
      <c r="C86" s="17" t="s">
        <v>37</v>
      </c>
      <c r="D86" s="17" t="s">
        <v>38</v>
      </c>
    </row>
    <row r="87" spans="1:4" x14ac:dyDescent="0.25">
      <c r="A87" s="14" t="s">
        <v>129</v>
      </c>
      <c r="B87" s="15">
        <v>2</v>
      </c>
      <c r="C87" s="15" t="s">
        <v>42</v>
      </c>
      <c r="D87" s="15" t="s">
        <v>38</v>
      </c>
    </row>
    <row r="88" spans="1:4" x14ac:dyDescent="0.25">
      <c r="A88" s="16" t="s">
        <v>130</v>
      </c>
      <c r="B88" s="17">
        <v>2</v>
      </c>
      <c r="C88" s="17" t="s">
        <v>37</v>
      </c>
      <c r="D88" s="17" t="s">
        <v>38</v>
      </c>
    </row>
    <row r="89" spans="1:4" x14ac:dyDescent="0.25">
      <c r="A89" s="14" t="s">
        <v>131</v>
      </c>
      <c r="B89" s="15">
        <v>2</v>
      </c>
      <c r="C89" s="15" t="s">
        <v>44</v>
      </c>
      <c r="D89" s="15" t="s">
        <v>38</v>
      </c>
    </row>
    <row r="90" spans="1:4" x14ac:dyDescent="0.25">
      <c r="A90" s="16" t="s">
        <v>132</v>
      </c>
      <c r="B90" s="17">
        <v>4</v>
      </c>
      <c r="C90" s="17" t="s">
        <v>37</v>
      </c>
      <c r="D90" s="17" t="s">
        <v>38</v>
      </c>
    </row>
    <row r="91" spans="1:4" x14ac:dyDescent="0.25">
      <c r="A91" s="14" t="s">
        <v>82</v>
      </c>
      <c r="B91" s="15">
        <v>5</v>
      </c>
      <c r="C91" s="15" t="s">
        <v>37</v>
      </c>
      <c r="D91" s="15" t="s">
        <v>38</v>
      </c>
    </row>
    <row r="92" spans="1:4" x14ac:dyDescent="0.25">
      <c r="A92" s="16" t="s">
        <v>133</v>
      </c>
      <c r="B92" s="17">
        <v>3</v>
      </c>
      <c r="C92" s="17" t="s">
        <v>52</v>
      </c>
      <c r="D92" s="17" t="s">
        <v>38</v>
      </c>
    </row>
    <row r="93" spans="1:4" x14ac:dyDescent="0.25">
      <c r="A93" s="14" t="s">
        <v>134</v>
      </c>
      <c r="B93" s="15">
        <v>4</v>
      </c>
      <c r="C93" s="15" t="s">
        <v>67</v>
      </c>
      <c r="D93" s="15" t="s">
        <v>38</v>
      </c>
    </row>
    <row r="94" spans="1:4" x14ac:dyDescent="0.25">
      <c r="A94" s="16" t="s">
        <v>135</v>
      </c>
      <c r="B94" s="17">
        <v>5</v>
      </c>
      <c r="C94" s="17" t="s">
        <v>42</v>
      </c>
      <c r="D94" s="17" t="s">
        <v>38</v>
      </c>
    </row>
    <row r="95" spans="1:4" x14ac:dyDescent="0.25">
      <c r="A95" s="14" t="s">
        <v>136</v>
      </c>
      <c r="B95" s="15"/>
      <c r="C95" s="15" t="s">
        <v>42</v>
      </c>
      <c r="D95" s="15" t="s">
        <v>38</v>
      </c>
    </row>
    <row r="96" spans="1:4" x14ac:dyDescent="0.25">
      <c r="A96" s="16" t="s">
        <v>137</v>
      </c>
      <c r="B96" s="17">
        <v>5</v>
      </c>
      <c r="C96" s="17" t="s">
        <v>42</v>
      </c>
      <c r="D96" s="17" t="s">
        <v>38</v>
      </c>
    </row>
    <row r="97" spans="1:4" x14ac:dyDescent="0.25">
      <c r="A97" s="14" t="s">
        <v>138</v>
      </c>
      <c r="B97" s="15">
        <v>8</v>
      </c>
      <c r="C97" s="15" t="s">
        <v>52</v>
      </c>
      <c r="D97" s="15" t="s">
        <v>49</v>
      </c>
    </row>
    <row r="98" spans="1:4" x14ac:dyDescent="0.25">
      <c r="A98" s="16" t="s">
        <v>139</v>
      </c>
      <c r="B98" s="17">
        <v>4</v>
      </c>
      <c r="C98" s="17" t="s">
        <v>62</v>
      </c>
      <c r="D98" s="17" t="s">
        <v>38</v>
      </c>
    </row>
    <row r="99" spans="1:4" x14ac:dyDescent="0.25">
      <c r="A99" s="14" t="s">
        <v>124</v>
      </c>
      <c r="B99" s="15">
        <v>5</v>
      </c>
      <c r="C99" s="15" t="s">
        <v>40</v>
      </c>
      <c r="D99" s="15" t="s">
        <v>38</v>
      </c>
    </row>
    <row r="100" spans="1:4" x14ac:dyDescent="0.25">
      <c r="A100" s="16" t="s">
        <v>140</v>
      </c>
      <c r="B100" s="17">
        <v>4</v>
      </c>
      <c r="C100" s="17" t="s">
        <v>62</v>
      </c>
      <c r="D100" s="17" t="s">
        <v>38</v>
      </c>
    </row>
    <row r="101" spans="1:4" x14ac:dyDescent="0.25">
      <c r="A101" s="14" t="s">
        <v>141</v>
      </c>
      <c r="B101" s="15">
        <v>2</v>
      </c>
      <c r="C101" s="15" t="s">
        <v>37</v>
      </c>
      <c r="D101" s="15" t="s">
        <v>38</v>
      </c>
    </row>
    <row r="102" spans="1:4" x14ac:dyDescent="0.25">
      <c r="A102" s="16" t="s">
        <v>142</v>
      </c>
      <c r="B102" s="17">
        <v>14</v>
      </c>
      <c r="C102" s="17" t="s">
        <v>67</v>
      </c>
      <c r="D102" s="17" t="s">
        <v>49</v>
      </c>
    </row>
    <row r="103" spans="1:4" x14ac:dyDescent="0.25">
      <c r="A103" s="14" t="s">
        <v>143</v>
      </c>
      <c r="B103" s="15">
        <v>6</v>
      </c>
      <c r="C103" s="15" t="s">
        <v>52</v>
      </c>
      <c r="D103" s="15" t="s">
        <v>38</v>
      </c>
    </row>
    <row r="104" spans="1:4" x14ac:dyDescent="0.25">
      <c r="A104" s="16" t="s">
        <v>144</v>
      </c>
      <c r="B104" s="17">
        <v>3</v>
      </c>
      <c r="C104" s="17" t="s">
        <v>40</v>
      </c>
      <c r="D104" s="17" t="s">
        <v>38</v>
      </c>
    </row>
    <row r="105" spans="1:4" x14ac:dyDescent="0.25">
      <c r="A105" s="14" t="s">
        <v>64</v>
      </c>
      <c r="B105" s="15">
        <v>4</v>
      </c>
      <c r="C105" s="15" t="s">
        <v>46</v>
      </c>
      <c r="D105" s="15" t="s">
        <v>38</v>
      </c>
    </row>
    <row r="106" spans="1:4" x14ac:dyDescent="0.25">
      <c r="A106" s="16" t="s">
        <v>145</v>
      </c>
      <c r="B106" s="17">
        <v>5</v>
      </c>
      <c r="C106" s="17" t="s">
        <v>37</v>
      </c>
      <c r="D106" s="17" t="s">
        <v>38</v>
      </c>
    </row>
    <row r="107" spans="1:4" x14ac:dyDescent="0.25">
      <c r="A107" s="14" t="s">
        <v>74</v>
      </c>
      <c r="B107" s="15">
        <v>2</v>
      </c>
      <c r="C107" s="15" t="s">
        <v>42</v>
      </c>
      <c r="D107" s="15" t="s">
        <v>38</v>
      </c>
    </row>
    <row r="108" spans="1:4" x14ac:dyDescent="0.25">
      <c r="A108" s="16" t="s">
        <v>141</v>
      </c>
      <c r="B108" s="17">
        <v>2</v>
      </c>
      <c r="C108" s="17" t="s">
        <v>37</v>
      </c>
      <c r="D108" s="17" t="s">
        <v>38</v>
      </c>
    </row>
    <row r="109" spans="1:4" x14ac:dyDescent="0.25">
      <c r="A109" s="14" t="s">
        <v>146</v>
      </c>
      <c r="B109" s="15">
        <v>2</v>
      </c>
      <c r="C109" s="15" t="s">
        <v>46</v>
      </c>
      <c r="D109" s="15" t="s">
        <v>38</v>
      </c>
    </row>
    <row r="110" spans="1:4" x14ac:dyDescent="0.25">
      <c r="A110" s="16" t="s">
        <v>147</v>
      </c>
      <c r="B110" s="17">
        <v>3</v>
      </c>
      <c r="C110" s="17" t="s">
        <v>46</v>
      </c>
      <c r="D110" s="17" t="s">
        <v>38</v>
      </c>
    </row>
    <row r="111" spans="1:4" x14ac:dyDescent="0.25">
      <c r="A111" s="14" t="s">
        <v>148</v>
      </c>
      <c r="B111" s="15">
        <v>3</v>
      </c>
      <c r="C111" s="15" t="s">
        <v>42</v>
      </c>
      <c r="D111" s="15" t="s">
        <v>38</v>
      </c>
    </row>
    <row r="112" spans="1:4" x14ac:dyDescent="0.25">
      <c r="A112" s="16" t="s">
        <v>77</v>
      </c>
      <c r="B112" s="17">
        <v>2</v>
      </c>
      <c r="C112" s="17" t="s">
        <v>37</v>
      </c>
      <c r="D112" s="17" t="s">
        <v>38</v>
      </c>
    </row>
    <row r="113" spans="1:4" x14ac:dyDescent="0.25">
      <c r="A113" s="1"/>
      <c r="B113" s="1"/>
      <c r="C113" s="1"/>
      <c r="D113" s="1"/>
    </row>
    <row r="114" spans="1:4" x14ac:dyDescent="0.25">
      <c r="A114" s="1"/>
      <c r="B114" s="1"/>
      <c r="C114" s="1"/>
      <c r="D114" s="1"/>
    </row>
    <row r="115" spans="1:4" x14ac:dyDescent="0.25">
      <c r="A115" s="1"/>
      <c r="B115" s="1"/>
      <c r="C115" s="1"/>
      <c r="D115" s="1"/>
    </row>
    <row r="116" spans="1:4" x14ac:dyDescent="0.25">
      <c r="A116" s="1"/>
      <c r="B116" s="1"/>
      <c r="C116" s="1"/>
      <c r="D116" s="1"/>
    </row>
    <row r="117" spans="1:4" x14ac:dyDescent="0.25">
      <c r="A117" s="1"/>
      <c r="B117" s="1"/>
      <c r="C117" s="1"/>
      <c r="D117" s="1"/>
    </row>
    <row r="118" spans="1:4" x14ac:dyDescent="0.25">
      <c r="A118" s="1"/>
      <c r="B118" s="1"/>
      <c r="C118" s="1"/>
      <c r="D118" s="1"/>
    </row>
    <row r="119" spans="1:4" x14ac:dyDescent="0.25">
      <c r="A119" s="1"/>
      <c r="B119" s="1"/>
      <c r="C119" s="1"/>
      <c r="D119" s="1"/>
    </row>
    <row r="120" spans="1:4" x14ac:dyDescent="0.25">
      <c r="A120" s="1"/>
      <c r="B120" s="1"/>
      <c r="C120" s="1"/>
      <c r="D120" s="1"/>
    </row>
  </sheetData>
  <mergeCells count="2">
    <mergeCell ref="A1:D2"/>
    <mergeCell ref="A3:D3"/>
  </mergeCells>
  <conditionalFormatting sqref="A5:D112">
    <cfRule type="expression" dxfId="27" priority="1">
      <formula>$D5="Cancelado"</formula>
    </cfRule>
    <cfRule type="expression" dxfId="26" priority="2">
      <formula>COUNTIFS($A$5:$A$112,$A5,$B$5:$B$112,$B5,$C$5:$C$112,$C5)&gt;1</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0"/>
  <sheetViews>
    <sheetView workbookViewId="0">
      <pane ySplit="3" topLeftCell="A22" activePane="bottomLeft" state="frozen"/>
      <selection pane="bottomLeft" activeCell="B79" sqref="B79"/>
    </sheetView>
  </sheetViews>
  <sheetFormatPr defaultRowHeight="15" x14ac:dyDescent="0.25"/>
  <cols>
    <col min="1" max="1" width="25.85546875" customWidth="1"/>
    <col min="2" max="2" width="86.140625" customWidth="1"/>
    <col min="3" max="3" width="16" customWidth="1"/>
    <col min="4" max="4" width="20" customWidth="1"/>
    <col min="5" max="5" width="10" customWidth="1"/>
    <col min="6" max="6" width="3" customWidth="1"/>
    <col min="7" max="7" width="10" customWidth="1"/>
    <col min="8" max="8" width="12" customWidth="1"/>
  </cols>
  <sheetData>
    <row r="1" spans="1:8" ht="26.1" customHeight="1" x14ac:dyDescent="0.25">
      <c r="A1" s="45" t="s">
        <v>161</v>
      </c>
      <c r="B1" s="44"/>
      <c r="C1" s="44"/>
      <c r="D1" s="44"/>
      <c r="E1" s="44"/>
      <c r="F1" s="44"/>
      <c r="G1" s="70" t="s">
        <v>162</v>
      </c>
      <c r="H1" s="71"/>
    </row>
    <row r="2" spans="1:8" ht="26.1" customHeight="1" x14ac:dyDescent="0.25">
      <c r="A2" s="46"/>
      <c r="B2" s="46"/>
      <c r="C2" s="46"/>
      <c r="D2" s="46"/>
      <c r="E2" s="46"/>
      <c r="F2" s="46"/>
      <c r="G2" s="59">
        <f>B67</f>
        <v>0</v>
      </c>
      <c r="H2" s="60"/>
    </row>
    <row r="3" spans="1:8" x14ac:dyDescent="0.25">
      <c r="A3" s="1"/>
      <c r="B3" s="1"/>
      <c r="C3" s="1"/>
      <c r="D3" s="1"/>
      <c r="E3" s="1"/>
      <c r="F3" s="1"/>
      <c r="G3" s="1"/>
      <c r="H3" s="1"/>
    </row>
    <row r="4" spans="1:8" ht="20.100000000000001" customHeight="1" x14ac:dyDescent="0.25">
      <c r="A4" s="48" t="str">
        <f>IF(AND('🗂️ Configuración'!C4&lt;&gt;"",'🗂️ Configuración'!C5&lt;&gt;"",'🗂️ Configuración'!C6&lt;&gt;""),"✅ Expediente identificado: "&amp;'🗂️ Configuración'!C4&amp;" — puedes empezar.","⚠️ Ve a 🗂️ Configuración y completa tu nombre, DNI y grado antes de empezar.")</f>
        <v>⚠️ Ve a 🗂️ Configuración y completa tu nombre, DNI y grado antes de empezar.</v>
      </c>
      <c r="B4" s="44"/>
      <c r="C4" s="44"/>
      <c r="D4" s="44"/>
      <c r="E4" s="44"/>
      <c r="F4" s="44"/>
      <c r="G4" s="44"/>
      <c r="H4" s="44"/>
    </row>
    <row r="5" spans="1:8" x14ac:dyDescent="0.25">
      <c r="A5" s="1"/>
      <c r="B5" s="1"/>
      <c r="C5" s="1"/>
      <c r="D5" s="1"/>
      <c r="E5" s="1"/>
      <c r="F5" s="1"/>
      <c r="G5" s="1"/>
      <c r="H5" s="1"/>
    </row>
    <row r="6" spans="1:8" ht="27.95" customHeight="1" x14ac:dyDescent="0.25">
      <c r="A6" s="65" t="s">
        <v>163</v>
      </c>
      <c r="B6" s="44"/>
      <c r="C6" s="44"/>
      <c r="D6" s="44"/>
      <c r="E6" s="44"/>
      <c r="F6" s="44"/>
      <c r="G6" s="44"/>
      <c r="H6" s="44"/>
    </row>
    <row r="7" spans="1:8" ht="14.1" customHeight="1" x14ac:dyDescent="0.25">
      <c r="A7" s="18" t="s">
        <v>164</v>
      </c>
      <c r="B7" s="18" t="s">
        <v>165</v>
      </c>
      <c r="C7" s="18" t="s">
        <v>166</v>
      </c>
      <c r="D7" s="18" t="s">
        <v>167</v>
      </c>
      <c r="E7" s="1"/>
      <c r="F7" s="1"/>
      <c r="G7" s="1"/>
      <c r="H7" s="1"/>
    </row>
    <row r="8" spans="1:8" ht="44.1" customHeight="1" x14ac:dyDescent="0.25">
      <c r="A8" s="19" t="s">
        <v>151</v>
      </c>
      <c r="B8" s="20" t="s">
        <v>168</v>
      </c>
      <c r="C8" s="21"/>
      <c r="D8" s="22" t="str">
        <f>IF(C8="","–",IF(IFERROR(VALUE(C8)='🔒 Clave'!B2,FALSE),"✓ +5 XP","✗ revisa"))</f>
        <v>–</v>
      </c>
      <c r="E8" s="23">
        <f>IF(LEFT(D8,1)="✓",5,0)</f>
        <v>0</v>
      </c>
      <c r="F8" s="1"/>
      <c r="G8" s="1"/>
      <c r="H8" s="1"/>
    </row>
    <row r="9" spans="1:8" ht="44.1" customHeight="1" x14ac:dyDescent="0.25">
      <c r="A9" s="19" t="s">
        <v>152</v>
      </c>
      <c r="B9" s="24" t="s">
        <v>169</v>
      </c>
      <c r="C9" s="21"/>
      <c r="D9" s="25" t="str">
        <f>IF(C9="","–",IF(IFERROR(VALUE(C9)='🔒 Clave'!B3,FALSE),"✓ +5 XP","✗ revisa"))</f>
        <v>–</v>
      </c>
      <c r="E9" s="26">
        <f>IF(LEFT(D9,1)="✓",5,0)</f>
        <v>0</v>
      </c>
      <c r="F9" s="1"/>
      <c r="G9" s="1"/>
      <c r="H9" s="1"/>
    </row>
    <row r="10" spans="1:8" ht="44.1" customHeight="1" x14ac:dyDescent="0.25">
      <c r="A10" s="19" t="s">
        <v>154</v>
      </c>
      <c r="B10" s="20" t="s">
        <v>170</v>
      </c>
      <c r="C10" s="21"/>
      <c r="D10" s="22" t="str">
        <f>IF(C10="","–",IF(IFERROR(EXACT(LOWER(C10),LOWER('🔒 Clave'!B5)),FALSE),"✓ +5 XP","✗ revisa"))</f>
        <v>–</v>
      </c>
      <c r="E10" s="23">
        <f>IF(LEFT(D10,1)="✓",5,0)</f>
        <v>0</v>
      </c>
      <c r="F10" s="1"/>
      <c r="G10" s="1"/>
      <c r="H10" s="1"/>
    </row>
    <row r="11" spans="1:8" ht="44.1" customHeight="1" x14ac:dyDescent="0.25">
      <c r="A11" s="19" t="s">
        <v>153</v>
      </c>
      <c r="B11" s="24" t="s">
        <v>171</v>
      </c>
      <c r="C11" s="21"/>
      <c r="D11" s="25" t="str">
        <f>IF(C11="","–",IF(IFERROR(VALUE(C11)='🔒 Clave'!B4,FALSE),"✓ +5 XP","✗ revisa"))</f>
        <v>–</v>
      </c>
      <c r="E11" s="26">
        <f>IF(LEFT(D11,1)="✓",5,0)</f>
        <v>0</v>
      </c>
      <c r="F11" s="1"/>
      <c r="G11" s="1"/>
      <c r="H11" s="1"/>
    </row>
    <row r="12" spans="1:8" x14ac:dyDescent="0.25">
      <c r="A12" s="1"/>
      <c r="B12" s="1"/>
      <c r="C12" s="1"/>
      <c r="D12" s="1"/>
      <c r="E12" s="1"/>
      <c r="F12" s="1"/>
      <c r="G12" s="1"/>
      <c r="H12" s="1"/>
    </row>
    <row r="13" spans="1:8" ht="27.95" customHeight="1" x14ac:dyDescent="0.25">
      <c r="A13" s="57" t="s">
        <v>172</v>
      </c>
      <c r="B13" s="44"/>
      <c r="C13" s="44"/>
      <c r="D13" s="44"/>
      <c r="E13" s="44"/>
      <c r="F13" s="44"/>
      <c r="G13" s="44"/>
      <c r="H13" s="44"/>
    </row>
    <row r="14" spans="1:8" ht="14.1" customHeight="1" x14ac:dyDescent="0.25">
      <c r="A14" s="18" t="s">
        <v>164</v>
      </c>
      <c r="B14" s="18" t="s">
        <v>165</v>
      </c>
      <c r="C14" s="18" t="s">
        <v>166</v>
      </c>
      <c r="D14" s="18" t="s">
        <v>167</v>
      </c>
      <c r="E14" s="1"/>
      <c r="F14" s="1"/>
      <c r="G14" s="1"/>
      <c r="H14" s="1"/>
    </row>
    <row r="15" spans="1:8" ht="26.1" customHeight="1" x14ac:dyDescent="0.25">
      <c r="A15" s="57" t="s">
        <v>173</v>
      </c>
      <c r="B15" s="44"/>
      <c r="C15" s="44"/>
      <c r="D15" s="44"/>
      <c r="E15" s="44"/>
      <c r="F15" s="44"/>
      <c r="G15" s="44"/>
      <c r="H15" s="44"/>
    </row>
    <row r="16" spans="1:8" ht="18" customHeight="1" x14ac:dyDescent="0.25">
      <c r="A16" s="68" t="s">
        <v>174</v>
      </c>
      <c r="B16" s="44"/>
      <c r="C16" s="44"/>
      <c r="D16" s="44"/>
      <c r="E16" s="44"/>
      <c r="F16" s="44"/>
      <c r="G16" s="44"/>
      <c r="H16" s="44"/>
    </row>
    <row r="17" spans="1:8" ht="18" customHeight="1" x14ac:dyDescent="0.25">
      <c r="A17" s="68" t="s">
        <v>175</v>
      </c>
      <c r="B17" s="44"/>
      <c r="C17" s="44"/>
      <c r="D17" s="44"/>
      <c r="E17" s="44"/>
      <c r="F17" s="44"/>
      <c r="G17" s="44"/>
      <c r="H17" s="44"/>
    </row>
    <row r="18" spans="1:8" ht="18" customHeight="1" x14ac:dyDescent="0.25">
      <c r="A18" s="68" t="s">
        <v>176</v>
      </c>
      <c r="B18" s="44"/>
      <c r="C18" s="44"/>
      <c r="D18" s="44"/>
      <c r="E18" s="44"/>
      <c r="F18" s="44"/>
      <c r="G18" s="44"/>
      <c r="H18" s="44"/>
    </row>
    <row r="19" spans="1:8" ht="21.95" customHeight="1" x14ac:dyDescent="0.25">
      <c r="A19" s="74" t="s">
        <v>177</v>
      </c>
      <c r="B19" s="75"/>
      <c r="C19" s="75"/>
      <c r="D19" s="75"/>
      <c r="E19" s="75"/>
      <c r="F19" s="75"/>
      <c r="G19" s="75"/>
      <c r="H19" s="76"/>
    </row>
    <row r="20" spans="1:8" x14ac:dyDescent="0.25">
      <c r="A20" s="1"/>
      <c r="B20" s="1"/>
      <c r="C20" s="1"/>
      <c r="D20" s="1"/>
      <c r="E20" s="1"/>
      <c r="F20" s="1"/>
      <c r="G20" s="1"/>
      <c r="H20" s="1"/>
    </row>
    <row r="21" spans="1:8" ht="44.1" customHeight="1" x14ac:dyDescent="0.25">
      <c r="A21" s="27" t="s">
        <v>178</v>
      </c>
      <c r="B21" s="20" t="s">
        <v>179</v>
      </c>
      <c r="C21" s="27"/>
      <c r="D21" s="28" t="str">
        <f>IF(C21=TRUE,"👀 revisión →","⏳ pendiente")</f>
        <v>⏳ pendiente</v>
      </c>
      <c r="E21" s="29"/>
      <c r="F21" s="1"/>
      <c r="G21" s="1"/>
      <c r="H21" s="1"/>
    </row>
    <row r="22" spans="1:8" ht="54" customHeight="1" x14ac:dyDescent="0.25">
      <c r="A22" s="27" t="s">
        <v>180</v>
      </c>
      <c r="B22" s="24" t="s">
        <v>181</v>
      </c>
      <c r="C22" s="30" t="s">
        <v>182</v>
      </c>
      <c r="D22" s="25" t="str">
        <f>IF(AND(COUNTIF('📊 Datos'!D5:D112,"Cancelado")=0,COUNTA('📊 Datos'!A5:A112)=90),"✓ +10 XP","✗ revisa")</f>
        <v>✗ revisa</v>
      </c>
      <c r="E22" s="26">
        <f>IF(LEFT(D22,1)="✓",10,0)</f>
        <v>0</v>
      </c>
      <c r="F22" s="1"/>
      <c r="G22" s="1"/>
      <c r="H22" s="1"/>
    </row>
    <row r="23" spans="1:8" ht="54" customHeight="1" x14ac:dyDescent="0.25">
      <c r="A23" s="27" t="s">
        <v>183</v>
      </c>
      <c r="B23" s="20" t="s">
        <v>184</v>
      </c>
      <c r="C23" s="31" t="s">
        <v>182</v>
      </c>
      <c r="D23" s="22" t="str">
        <f>IF(AND(COUNTA('📊 Datos'!A5:A112)=90,COUNTIF('📊 Datos'!C5:C112,"Viernes")+COUNTIF('📊 Datos'!C5:C112,"Sábado")=90),"✓ +10 XP","✗ revisa")</f>
        <v>✗ revisa</v>
      </c>
      <c r="E23" s="23">
        <f>IF(LEFT(D23,1)="✓",10,0)</f>
        <v>0</v>
      </c>
      <c r="F23" s="1"/>
      <c r="G23" s="1"/>
      <c r="H23" s="1"/>
    </row>
    <row r="24" spans="1:8" ht="54" customHeight="1" x14ac:dyDescent="0.25">
      <c r="A24" s="27" t="s">
        <v>185</v>
      </c>
      <c r="B24" s="24" t="s">
        <v>186</v>
      </c>
      <c r="C24" s="30" t="s">
        <v>182</v>
      </c>
      <c r="D24" s="25" t="str">
        <f>IF(AND(SUMPRODUCT(('📊 Datos'!A5:A112&lt;&gt;"")*('📊 Datos'!B5:B112=""))=0,SUM('📊 Datos'!B5:B112)=324),"✓ +10 XP","✗ revisa")</f>
        <v>✗ revisa</v>
      </c>
      <c r="E24" s="26">
        <f>IF(LEFT(D24,1)="✓",10,0)</f>
        <v>0</v>
      </c>
      <c r="F24" s="1"/>
      <c r="G24" s="1"/>
      <c r="H24" s="1"/>
    </row>
    <row r="25" spans="1:8" ht="54" customHeight="1" x14ac:dyDescent="0.25">
      <c r="A25" s="27" t="s">
        <v>156</v>
      </c>
      <c r="B25" s="20" t="s">
        <v>187</v>
      </c>
      <c r="C25" s="21"/>
      <c r="D25" s="22" t="str">
        <f>IF(C25="","–",IF(IFERROR(EXACT(LOWER(C25),LOWER('🔒 Clave'!B6)),FALSE),"✓ +5 XP","✗ revisa"))</f>
        <v>–</v>
      </c>
      <c r="E25" s="23">
        <f>IF(LEFT(D25,1)="✓",5,0)</f>
        <v>0</v>
      </c>
      <c r="F25" s="1"/>
      <c r="G25" s="1"/>
      <c r="H25" s="1"/>
    </row>
    <row r="26" spans="1:8" ht="26.1" customHeight="1" x14ac:dyDescent="0.25">
      <c r="A26" s="27" t="s">
        <v>188</v>
      </c>
      <c r="B26" s="66" t="s">
        <v>189</v>
      </c>
      <c r="C26" s="44"/>
      <c r="D26" s="44"/>
      <c r="E26" s="44"/>
      <c r="F26" s="44"/>
      <c r="G26" s="44"/>
      <c r="H26" s="44"/>
    </row>
    <row r="27" spans="1:8" x14ac:dyDescent="0.25">
      <c r="A27" s="1"/>
      <c r="B27" s="1"/>
      <c r="C27" s="1"/>
      <c r="D27" s="1"/>
      <c r="E27" s="1"/>
      <c r="F27" s="1"/>
      <c r="G27" s="1"/>
      <c r="H27" s="1"/>
    </row>
    <row r="28" spans="1:8" ht="26.1" customHeight="1" x14ac:dyDescent="0.25">
      <c r="A28" s="73" t="s">
        <v>190</v>
      </c>
      <c r="B28" s="44"/>
      <c r="C28" s="44"/>
      <c r="D28" s="44"/>
      <c r="E28" s="44"/>
      <c r="F28" s="44"/>
      <c r="G28" s="44"/>
      <c r="H28" s="44"/>
    </row>
    <row r="29" spans="1:8" ht="25.5" x14ac:dyDescent="0.25">
      <c r="A29" s="32" t="s">
        <v>32</v>
      </c>
      <c r="B29" s="32" t="s">
        <v>33</v>
      </c>
      <c r="C29" s="1"/>
      <c r="D29" s="1"/>
      <c r="E29" s="1"/>
      <c r="F29" s="1"/>
      <c r="G29" s="1"/>
      <c r="H29" s="1"/>
    </row>
    <row r="30" spans="1:8" x14ac:dyDescent="0.25">
      <c r="A30" s="33" t="s">
        <v>63</v>
      </c>
      <c r="B30" s="34">
        <v>5</v>
      </c>
      <c r="C30" s="1"/>
      <c r="D30" s="1"/>
      <c r="E30" s="1"/>
      <c r="F30" s="1"/>
      <c r="G30" s="1"/>
      <c r="H30" s="1"/>
    </row>
    <row r="31" spans="1:8" x14ac:dyDescent="0.25">
      <c r="A31" s="35" t="s">
        <v>54</v>
      </c>
      <c r="B31" s="36">
        <v>2</v>
      </c>
      <c r="C31" s="1"/>
      <c r="D31" s="1"/>
      <c r="E31" s="1"/>
      <c r="F31" s="1"/>
      <c r="G31" s="1"/>
      <c r="H31" s="1"/>
    </row>
    <row r="32" spans="1:8" x14ac:dyDescent="0.25">
      <c r="A32" s="33" t="s">
        <v>102</v>
      </c>
      <c r="B32" s="34">
        <v>4</v>
      </c>
      <c r="C32" s="1"/>
      <c r="D32" s="1"/>
      <c r="E32" s="1"/>
      <c r="F32" s="1"/>
      <c r="G32" s="1"/>
      <c r="H32" s="1"/>
    </row>
    <row r="33" spans="1:8" x14ac:dyDescent="0.25">
      <c r="A33" s="35" t="s">
        <v>45</v>
      </c>
      <c r="B33" s="36">
        <v>2</v>
      </c>
      <c r="C33" s="1"/>
      <c r="D33" s="1"/>
      <c r="E33" s="1"/>
      <c r="F33" s="1"/>
      <c r="G33" s="1"/>
      <c r="H33" s="1"/>
    </row>
    <row r="34" spans="1:8" x14ac:dyDescent="0.25">
      <c r="A34" s="33" t="s">
        <v>75</v>
      </c>
      <c r="B34" s="34">
        <v>2</v>
      </c>
      <c r="C34" s="1"/>
      <c r="D34" s="1"/>
      <c r="E34" s="1"/>
      <c r="F34" s="1"/>
      <c r="G34" s="1"/>
      <c r="H34" s="1"/>
    </row>
    <row r="35" spans="1:8" x14ac:dyDescent="0.25">
      <c r="A35" s="35" t="s">
        <v>136</v>
      </c>
      <c r="B35" s="36">
        <v>2</v>
      </c>
      <c r="C35" s="1"/>
      <c r="D35" s="1"/>
      <c r="E35" s="1"/>
      <c r="F35" s="1"/>
      <c r="G35" s="1"/>
      <c r="H35" s="1"/>
    </row>
    <row r="36" spans="1:8" x14ac:dyDescent="0.25">
      <c r="A36" s="33" t="s">
        <v>104</v>
      </c>
      <c r="B36" s="34">
        <v>3</v>
      </c>
      <c r="C36" s="1"/>
      <c r="D36" s="1"/>
      <c r="E36" s="1"/>
      <c r="F36" s="1"/>
      <c r="G36" s="1"/>
      <c r="H36" s="1"/>
    </row>
    <row r="37" spans="1:8" x14ac:dyDescent="0.25">
      <c r="A37" s="35" t="s">
        <v>55</v>
      </c>
      <c r="B37" s="36">
        <v>3</v>
      </c>
      <c r="C37" s="1"/>
      <c r="D37" s="1"/>
      <c r="E37" s="1"/>
      <c r="F37" s="1"/>
      <c r="G37" s="1"/>
      <c r="H37" s="1"/>
    </row>
    <row r="38" spans="1:8" x14ac:dyDescent="0.25">
      <c r="A38" s="33" t="s">
        <v>86</v>
      </c>
      <c r="B38" s="34">
        <v>2</v>
      </c>
      <c r="C38" s="1"/>
      <c r="D38" s="1"/>
      <c r="E38" s="1"/>
      <c r="F38" s="1"/>
      <c r="G38" s="1"/>
      <c r="H38" s="1"/>
    </row>
    <row r="39" spans="1:8" x14ac:dyDescent="0.25">
      <c r="A39" s="35" t="s">
        <v>120</v>
      </c>
      <c r="B39" s="36">
        <v>2</v>
      </c>
      <c r="C39" s="1"/>
      <c r="D39" s="1"/>
      <c r="E39" s="1"/>
      <c r="F39" s="1"/>
      <c r="G39" s="1"/>
      <c r="H39" s="1"/>
    </row>
    <row r="40" spans="1:8" x14ac:dyDescent="0.25">
      <c r="A40" s="33" t="s">
        <v>59</v>
      </c>
      <c r="B40" s="34">
        <v>3</v>
      </c>
      <c r="C40" s="1"/>
      <c r="D40" s="1"/>
      <c r="E40" s="1"/>
      <c r="F40" s="1"/>
      <c r="G40" s="1"/>
      <c r="H40" s="1"/>
    </row>
    <row r="41" spans="1:8" x14ac:dyDescent="0.25">
      <c r="A41" s="35" t="s">
        <v>99</v>
      </c>
      <c r="B41" s="36">
        <v>3</v>
      </c>
      <c r="C41" s="1"/>
      <c r="D41" s="1"/>
      <c r="E41" s="1"/>
      <c r="F41" s="1"/>
      <c r="G41" s="1"/>
      <c r="H41" s="1"/>
    </row>
    <row r="42" spans="1:8" x14ac:dyDescent="0.25">
      <c r="A42" s="1"/>
      <c r="B42" s="1"/>
      <c r="C42" s="1"/>
      <c r="D42" s="1"/>
      <c r="E42" s="1"/>
      <c r="F42" s="1"/>
      <c r="G42" s="1"/>
      <c r="H42" s="1"/>
    </row>
    <row r="43" spans="1:8" x14ac:dyDescent="0.25">
      <c r="A43" s="69" t="s">
        <v>191</v>
      </c>
      <c r="B43" s="44"/>
      <c r="C43" s="44"/>
      <c r="D43" s="44"/>
      <c r="E43" s="44"/>
      <c r="F43" s="44"/>
      <c r="G43" s="44"/>
      <c r="H43" s="44"/>
    </row>
    <row r="44" spans="1:8" x14ac:dyDescent="0.25">
      <c r="A44" s="1"/>
      <c r="B44" s="1"/>
      <c r="C44" s="1"/>
      <c r="D44" s="1"/>
      <c r="E44" s="1"/>
      <c r="F44" s="1"/>
      <c r="G44" s="1"/>
      <c r="H44" s="1"/>
    </row>
    <row r="45" spans="1:8" ht="27.95" customHeight="1" x14ac:dyDescent="0.25">
      <c r="A45" s="64" t="s">
        <v>192</v>
      </c>
      <c r="B45" s="44"/>
      <c r="C45" s="44"/>
      <c r="D45" s="44"/>
      <c r="E45" s="44"/>
      <c r="F45" s="44"/>
      <c r="G45" s="44"/>
      <c r="H45" s="44"/>
    </row>
    <row r="46" spans="1:8" ht="14.1" customHeight="1" x14ac:dyDescent="0.25">
      <c r="A46" s="18" t="s">
        <v>164</v>
      </c>
      <c r="B46" s="18" t="s">
        <v>165</v>
      </c>
      <c r="C46" s="18" t="s">
        <v>166</v>
      </c>
      <c r="D46" s="18" t="s">
        <v>167</v>
      </c>
      <c r="E46" s="1"/>
      <c r="F46" s="1"/>
      <c r="G46" s="1"/>
      <c r="H46" s="1"/>
    </row>
    <row r="47" spans="1:8" ht="26.1" customHeight="1" x14ac:dyDescent="0.25">
      <c r="A47" s="64" t="s">
        <v>193</v>
      </c>
      <c r="B47" s="44"/>
      <c r="C47" s="44"/>
      <c r="D47" s="44"/>
      <c r="E47" s="44"/>
      <c r="F47" s="44"/>
      <c r="G47" s="44"/>
      <c r="H47" s="44"/>
    </row>
    <row r="48" spans="1:8" ht="18" customHeight="1" x14ac:dyDescent="0.25">
      <c r="A48" s="56" t="s">
        <v>194</v>
      </c>
      <c r="B48" s="44"/>
      <c r="C48" s="44"/>
      <c r="D48" s="44"/>
      <c r="E48" s="44"/>
      <c r="F48" s="44"/>
      <c r="G48" s="44"/>
      <c r="H48" s="44"/>
    </row>
    <row r="49" spans="1:8" ht="18" customHeight="1" x14ac:dyDescent="0.25">
      <c r="A49" s="56" t="s">
        <v>195</v>
      </c>
      <c r="B49" s="44"/>
      <c r="C49" s="44"/>
      <c r="D49" s="44"/>
      <c r="E49" s="44"/>
      <c r="F49" s="44"/>
      <c r="G49" s="44"/>
      <c r="H49" s="44"/>
    </row>
    <row r="50" spans="1:8" ht="18" customHeight="1" x14ac:dyDescent="0.25">
      <c r="A50" s="56" t="s">
        <v>196</v>
      </c>
      <c r="B50" s="44"/>
      <c r="C50" s="44"/>
      <c r="D50" s="44"/>
      <c r="E50" s="44"/>
      <c r="F50" s="44"/>
      <c r="G50" s="44"/>
      <c r="H50" s="44"/>
    </row>
    <row r="51" spans="1:8" ht="21.95" customHeight="1" x14ac:dyDescent="0.25">
      <c r="A51" s="61" t="s">
        <v>197</v>
      </c>
      <c r="B51" s="62"/>
      <c r="C51" s="62"/>
      <c r="D51" s="62"/>
      <c r="E51" s="62"/>
      <c r="F51" s="62"/>
      <c r="G51" s="62"/>
      <c r="H51" s="63"/>
    </row>
    <row r="52" spans="1:8" x14ac:dyDescent="0.25">
      <c r="A52" s="1"/>
      <c r="B52" s="1"/>
      <c r="C52" s="1"/>
      <c r="D52" s="1"/>
      <c r="E52" s="1"/>
      <c r="F52" s="1"/>
      <c r="G52" s="1"/>
      <c r="H52" s="1"/>
    </row>
    <row r="53" spans="1:8" ht="44.1" customHeight="1" x14ac:dyDescent="0.25">
      <c r="A53" s="37" t="s">
        <v>198</v>
      </c>
      <c r="B53" s="24" t="s">
        <v>199</v>
      </c>
      <c r="C53" s="27" t="b">
        <v>0</v>
      </c>
      <c r="D53" s="38" t="str">
        <f>IF(C53=TRUE,"👀 revisión →","⏳ pendiente")</f>
        <v>⏳ pendiente</v>
      </c>
      <c r="E53" s="29"/>
      <c r="F53" s="1"/>
      <c r="G53" s="1"/>
      <c r="H53" s="1"/>
    </row>
    <row r="54" spans="1:8" ht="54" customHeight="1" x14ac:dyDescent="0.25">
      <c r="A54" s="37" t="s">
        <v>200</v>
      </c>
      <c r="B54" s="20" t="s">
        <v>201</v>
      </c>
      <c r="C54" s="21"/>
      <c r="D54" s="22" t="str">
        <f>IF(C54="","–",IF(IFERROR(VALUE(C54)=(SUMIFS('📊 Datos'!B5:B112,'📊 Datos'!C5:C112,"Sábado")),FALSE),"✓ +10 XP","✗ revisa"))</f>
        <v>–</v>
      </c>
      <c r="E54" s="23">
        <f>IF(LEFT(D54,1)="✓",10,0)</f>
        <v>0</v>
      </c>
      <c r="F54" s="1"/>
      <c r="G54" s="1"/>
      <c r="H54" s="1"/>
    </row>
    <row r="55" spans="1:8" ht="54" customHeight="1" x14ac:dyDescent="0.25">
      <c r="A55" s="37" t="s">
        <v>202</v>
      </c>
      <c r="B55" s="24" t="s">
        <v>203</v>
      </c>
      <c r="C55" s="21"/>
      <c r="D55" s="25" t="str">
        <f>IF(C55="","–",IF(IFERROR(VALUE(C55)=(SUMIFS('📊 Datos'!B5:B112,'📊 Datos'!C5:C112,"Viernes")),FALSE),"✓ +10 XP","✗ revisa"))</f>
        <v>–</v>
      </c>
      <c r="E55" s="26">
        <f>IF(LEFT(D55,1)="✓",10,0)</f>
        <v>0</v>
      </c>
      <c r="F55" s="1"/>
      <c r="G55" s="1"/>
      <c r="H55" s="1"/>
    </row>
    <row r="56" spans="1:8" ht="60" customHeight="1" x14ac:dyDescent="0.25">
      <c r="A56" s="37" t="s">
        <v>158</v>
      </c>
      <c r="B56" s="20" t="s">
        <v>204</v>
      </c>
      <c r="C56" s="21"/>
      <c r="D56" s="22" t="str">
        <f>IF(C56="","–",IF(IFERROR(EXACT(LOWER(C56),LOWER('🔒 Clave'!B7)),FALSE),"✓ +10 XP","✗ revisa"))</f>
        <v>–</v>
      </c>
      <c r="E56" s="23">
        <f>IF(LEFT(D56,1)="✓",10,0)</f>
        <v>0</v>
      </c>
      <c r="F56" s="1"/>
      <c r="G56" s="1"/>
      <c r="H56" s="1"/>
    </row>
    <row r="57" spans="1:8" ht="26.1" customHeight="1" x14ac:dyDescent="0.25">
      <c r="A57" s="37" t="s">
        <v>205</v>
      </c>
      <c r="B57" s="66" t="s">
        <v>206</v>
      </c>
      <c r="C57" s="44"/>
      <c r="D57" s="44"/>
      <c r="E57" s="44"/>
      <c r="F57" s="44"/>
      <c r="G57" s="44"/>
      <c r="H57" s="44"/>
    </row>
    <row r="58" spans="1:8" x14ac:dyDescent="0.25">
      <c r="A58" s="1"/>
      <c r="B58" s="1"/>
      <c r="C58" s="1"/>
      <c r="D58" s="1"/>
      <c r="E58" s="1"/>
      <c r="F58" s="1"/>
      <c r="G58" s="1"/>
      <c r="H58" s="1"/>
    </row>
    <row r="59" spans="1:8" ht="27.95" customHeight="1" x14ac:dyDescent="0.25">
      <c r="A59" s="58" t="s">
        <v>207</v>
      </c>
      <c r="B59" s="44"/>
      <c r="C59" s="44"/>
      <c r="D59" s="44"/>
      <c r="E59" s="44"/>
      <c r="F59" s="44"/>
      <c r="G59" s="44"/>
      <c r="H59" s="44"/>
    </row>
    <row r="60" spans="1:8" ht="14.1" customHeight="1" x14ac:dyDescent="0.25">
      <c r="A60" s="18" t="s">
        <v>164</v>
      </c>
      <c r="B60" s="18" t="s">
        <v>165</v>
      </c>
      <c r="C60" s="18" t="s">
        <v>166</v>
      </c>
      <c r="D60" s="18" t="s">
        <v>167</v>
      </c>
      <c r="E60" s="1"/>
      <c r="F60" s="1"/>
      <c r="G60" s="1"/>
      <c r="H60" s="1"/>
    </row>
    <row r="61" spans="1:8" ht="48" customHeight="1" x14ac:dyDescent="0.25">
      <c r="A61" s="39" t="s">
        <v>208</v>
      </c>
      <c r="B61" s="24" t="s">
        <v>209</v>
      </c>
      <c r="C61" s="21"/>
      <c r="D61" s="25" t="str">
        <f>IF(C61="","–",IF(EXACT(C61,IF(SUMIFS('📊 Datos'!B5:B112,'📊 Datos'!C5:C112,"Viernes")=SUMIFS('📊 Datos'!B5:B112,'📊 Datos'!C5:C112,"Sábado"),"Empate",IF(SUMIFS('📊 Datos'!B5:B112,'📊 Datos'!C5:C112,"Viernes")&gt;SUMIFS('📊 Datos'!B5:B112,'📊 Datos'!C5:C112,"Sábado"),"Viernes","Sábado"))),"✓ +10 XP","✗ revisa"))</f>
        <v>–</v>
      </c>
      <c r="E61" s="26">
        <f>IF(LEFT(D61,1)="✓",10,0)</f>
        <v>0</v>
      </c>
      <c r="F61" s="1"/>
      <c r="G61" s="1"/>
      <c r="H61" s="1"/>
    </row>
    <row r="62" spans="1:8" x14ac:dyDescent="0.25">
      <c r="A62" s="1"/>
      <c r="B62" s="1"/>
      <c r="C62" s="1"/>
      <c r="D62" s="1"/>
      <c r="E62" s="1"/>
      <c r="F62" s="1"/>
      <c r="G62" s="1"/>
      <c r="H62" s="1"/>
    </row>
    <row r="63" spans="1:8" ht="24" customHeight="1" x14ac:dyDescent="0.25">
      <c r="A63" s="72" t="s">
        <v>210</v>
      </c>
      <c r="B63" s="44"/>
      <c r="C63" s="44"/>
      <c r="D63" s="44"/>
      <c r="E63" s="44"/>
      <c r="F63" s="44"/>
      <c r="G63" s="44"/>
      <c r="H63" s="44"/>
    </row>
    <row r="64" spans="1:8" x14ac:dyDescent="0.25">
      <c r="A64" s="4" t="s">
        <v>211</v>
      </c>
      <c r="B64" s="40">
        <f>'🗂️ Configuración'!C4</f>
        <v>0</v>
      </c>
      <c r="C64" s="1"/>
      <c r="D64" s="4" t="s">
        <v>3</v>
      </c>
      <c r="E64" s="40">
        <f>'🗂️ Configuración'!C5</f>
        <v>0</v>
      </c>
      <c r="F64" s="1"/>
      <c r="G64" s="1"/>
      <c r="H64" s="1"/>
    </row>
    <row r="65" spans="1:8" x14ac:dyDescent="0.25">
      <c r="A65" s="4" t="s">
        <v>212</v>
      </c>
      <c r="B65" s="40">
        <f>'🗂️ Configuración'!C6</f>
        <v>0</v>
      </c>
      <c r="C65" s="1"/>
      <c r="D65" s="4" t="s">
        <v>213</v>
      </c>
      <c r="E65" s="40">
        <f>SUM(E8,E9,E10,E11,E22,E23,E24,E25,E54,E55,E56)</f>
        <v>0</v>
      </c>
      <c r="F65" s="1"/>
      <c r="G65" s="1"/>
      <c r="H65" s="1"/>
    </row>
    <row r="66" spans="1:8" x14ac:dyDescent="0.25">
      <c r="A66" s="4" t="s">
        <v>214</v>
      </c>
      <c r="B66" s="40">
        <f>SUM(E21,E53)</f>
        <v>0</v>
      </c>
      <c r="C66" s="1"/>
      <c r="D66" s="4" t="s">
        <v>215</v>
      </c>
      <c r="E66" s="40">
        <f>E61</f>
        <v>0</v>
      </c>
      <c r="F66" s="1"/>
      <c r="G66" s="1"/>
      <c r="H66" s="1"/>
    </row>
    <row r="67" spans="1:8" ht="17.25" x14ac:dyDescent="0.3">
      <c r="A67" s="41" t="s">
        <v>216</v>
      </c>
      <c r="B67" s="42">
        <f>SUM(E8,E9,E10,E11,E22,E23,E24,E25,E54,E55,E56)+SUM(E21,E53)+E61</f>
        <v>0</v>
      </c>
      <c r="C67" s="1"/>
      <c r="D67" s="1"/>
      <c r="E67" s="1"/>
      <c r="F67" s="1"/>
      <c r="G67" s="1"/>
      <c r="H67" s="1"/>
    </row>
    <row r="68" spans="1:8" x14ac:dyDescent="0.25">
      <c r="A68" s="1"/>
      <c r="B68" s="1"/>
      <c r="C68" s="1"/>
      <c r="D68" s="1"/>
      <c r="E68" s="1"/>
      <c r="F68" s="1"/>
      <c r="G68" s="1"/>
      <c r="H68" s="1"/>
    </row>
    <row r="69" spans="1:8" ht="27.95" customHeight="1" x14ac:dyDescent="0.25">
      <c r="A69" s="67" t="s">
        <v>217</v>
      </c>
      <c r="B69" s="44"/>
      <c r="C69" s="44"/>
      <c r="D69" s="44"/>
      <c r="E69" s="44"/>
      <c r="F69" s="44"/>
      <c r="G69" s="44"/>
      <c r="H69" s="44"/>
    </row>
    <row r="70" spans="1:8" x14ac:dyDescent="0.25">
      <c r="A70" s="43" t="s">
        <v>218</v>
      </c>
      <c r="B70" s="44"/>
      <c r="C70" s="44"/>
      <c r="D70" s="44"/>
      <c r="E70" s="44"/>
      <c r="F70" s="44"/>
      <c r="G70" s="44"/>
      <c r="H70" s="44"/>
    </row>
    <row r="71" spans="1:8" x14ac:dyDescent="0.25">
      <c r="A71" s="1"/>
      <c r="B71" s="1"/>
      <c r="C71" s="1"/>
      <c r="D71" s="1"/>
      <c r="E71" s="1"/>
      <c r="F71" s="1"/>
      <c r="G71" s="1"/>
      <c r="H71" s="1"/>
    </row>
    <row r="72" spans="1:8" x14ac:dyDescent="0.25">
      <c r="A72" s="1"/>
      <c r="B72" s="1"/>
      <c r="C72" s="1"/>
      <c r="D72" s="1"/>
      <c r="E72" s="1"/>
      <c r="F72" s="1"/>
      <c r="G72" s="1"/>
      <c r="H72" s="1"/>
    </row>
    <row r="73" spans="1:8" x14ac:dyDescent="0.25">
      <c r="A73" s="1"/>
      <c r="B73" s="1"/>
      <c r="C73" s="1"/>
      <c r="D73" s="1"/>
      <c r="E73" s="1"/>
      <c r="F73" s="1"/>
      <c r="G73" s="1"/>
      <c r="H73" s="1"/>
    </row>
    <row r="74" spans="1:8" x14ac:dyDescent="0.25">
      <c r="A74" s="1"/>
      <c r="B74" s="1"/>
      <c r="C74" s="1"/>
      <c r="D74" s="1"/>
      <c r="E74" s="1"/>
      <c r="F74" s="1"/>
      <c r="G74" s="1"/>
      <c r="H74" s="1"/>
    </row>
    <row r="75" spans="1:8" x14ac:dyDescent="0.25">
      <c r="A75" s="1"/>
      <c r="B75" s="1"/>
      <c r="C75" s="1"/>
      <c r="D75" s="1"/>
      <c r="E75" s="1"/>
      <c r="F75" s="1"/>
      <c r="G75" s="1"/>
      <c r="H75" s="1"/>
    </row>
    <row r="76" spans="1:8" x14ac:dyDescent="0.25">
      <c r="A76" s="1"/>
      <c r="B76" s="1"/>
      <c r="C76" s="1"/>
      <c r="D76" s="1"/>
      <c r="E76" s="1"/>
      <c r="F76" s="1"/>
      <c r="G76" s="1"/>
      <c r="H76" s="1"/>
    </row>
    <row r="77" spans="1:8" x14ac:dyDescent="0.25">
      <c r="A77" s="1"/>
      <c r="B77" s="1"/>
      <c r="C77" s="1"/>
      <c r="D77" s="1"/>
      <c r="E77" s="1"/>
      <c r="F77" s="1"/>
      <c r="G77" s="1"/>
      <c r="H77" s="1"/>
    </row>
    <row r="78" spans="1:8" x14ac:dyDescent="0.25">
      <c r="A78" s="1"/>
      <c r="B78" s="1"/>
      <c r="C78" s="1"/>
      <c r="D78" s="1"/>
      <c r="E78" s="1"/>
      <c r="F78" s="1"/>
      <c r="G78" s="1"/>
      <c r="H78" s="1"/>
    </row>
    <row r="79" spans="1:8" x14ac:dyDescent="0.25">
      <c r="A79" s="1"/>
      <c r="B79" s="1"/>
      <c r="C79" s="1"/>
      <c r="D79" s="1"/>
      <c r="E79" s="1"/>
      <c r="F79" s="1"/>
      <c r="G79" s="1"/>
      <c r="H79" s="1"/>
    </row>
    <row r="80" spans="1:8" x14ac:dyDescent="0.25">
      <c r="A80" s="1"/>
      <c r="B80" s="1"/>
      <c r="C80" s="1"/>
      <c r="D80" s="1"/>
      <c r="E80" s="1"/>
      <c r="F80" s="1"/>
      <c r="G80" s="1"/>
      <c r="H80" s="1"/>
    </row>
    <row r="81" spans="1:8" x14ac:dyDescent="0.25">
      <c r="A81" s="1"/>
      <c r="B81" s="1"/>
      <c r="C81" s="1"/>
      <c r="D81" s="1"/>
      <c r="E81" s="1"/>
      <c r="F81" s="1"/>
      <c r="G81" s="1"/>
      <c r="H81" s="1"/>
    </row>
    <row r="82" spans="1:8" x14ac:dyDescent="0.25">
      <c r="A82" s="1"/>
      <c r="B82" s="1"/>
      <c r="C82" s="1"/>
      <c r="D82" s="1"/>
      <c r="E82" s="1"/>
      <c r="F82" s="1"/>
      <c r="G82" s="1"/>
      <c r="H82" s="1"/>
    </row>
    <row r="83" spans="1:8" x14ac:dyDescent="0.25">
      <c r="A83" s="1"/>
      <c r="B83" s="1"/>
      <c r="C83" s="1"/>
      <c r="D83" s="1"/>
      <c r="E83" s="1"/>
      <c r="F83" s="1"/>
      <c r="G83" s="1"/>
      <c r="H83" s="1"/>
    </row>
    <row r="84" spans="1:8" x14ac:dyDescent="0.25">
      <c r="A84" s="1"/>
      <c r="B84" s="1"/>
      <c r="C84" s="1"/>
      <c r="D84" s="1"/>
      <c r="E84" s="1"/>
      <c r="F84" s="1"/>
      <c r="G84" s="1"/>
      <c r="H84" s="1"/>
    </row>
    <row r="85" spans="1:8" x14ac:dyDescent="0.25">
      <c r="A85" s="1"/>
      <c r="B85" s="1"/>
      <c r="C85" s="1"/>
      <c r="D85" s="1"/>
      <c r="E85" s="1"/>
      <c r="F85" s="1"/>
      <c r="G85" s="1"/>
      <c r="H85" s="1"/>
    </row>
    <row r="86" spans="1:8" x14ac:dyDescent="0.25">
      <c r="A86" s="1"/>
      <c r="B86" s="1"/>
      <c r="C86" s="1"/>
      <c r="D86" s="1"/>
      <c r="E86" s="1"/>
      <c r="F86" s="1"/>
      <c r="G86" s="1"/>
      <c r="H86" s="1"/>
    </row>
    <row r="87" spans="1:8" x14ac:dyDescent="0.25">
      <c r="A87" s="1"/>
      <c r="B87" s="1"/>
      <c r="C87" s="1"/>
      <c r="D87" s="1"/>
      <c r="E87" s="1"/>
      <c r="F87" s="1"/>
      <c r="G87" s="1"/>
      <c r="H87" s="1"/>
    </row>
    <row r="88" spans="1:8" x14ac:dyDescent="0.25">
      <c r="A88" s="1"/>
      <c r="B88" s="1"/>
      <c r="C88" s="1"/>
      <c r="D88" s="1"/>
      <c r="E88" s="1"/>
      <c r="F88" s="1"/>
      <c r="G88" s="1"/>
      <c r="H88" s="1"/>
    </row>
    <row r="89" spans="1:8" x14ac:dyDescent="0.25">
      <c r="A89" s="1"/>
      <c r="B89" s="1"/>
      <c r="C89" s="1"/>
      <c r="D89" s="1"/>
      <c r="E89" s="1"/>
      <c r="F89" s="1"/>
      <c r="G89" s="1"/>
      <c r="H89" s="1"/>
    </row>
    <row r="90" spans="1:8" x14ac:dyDescent="0.25">
      <c r="A90" s="1"/>
      <c r="B90" s="1"/>
      <c r="C90" s="1"/>
      <c r="D90" s="1"/>
      <c r="E90" s="1"/>
      <c r="F90" s="1"/>
      <c r="G90" s="1"/>
      <c r="H90" s="1"/>
    </row>
  </sheetData>
  <mergeCells count="25">
    <mergeCell ref="A70:H70"/>
    <mergeCell ref="B26:H26"/>
    <mergeCell ref="A69:H69"/>
    <mergeCell ref="A16:H16"/>
    <mergeCell ref="A1:F2"/>
    <mergeCell ref="A18:H18"/>
    <mergeCell ref="A50:H50"/>
    <mergeCell ref="A47:H47"/>
    <mergeCell ref="A17:H17"/>
    <mergeCell ref="A4:H4"/>
    <mergeCell ref="B57:H57"/>
    <mergeCell ref="A43:H43"/>
    <mergeCell ref="G1:H1"/>
    <mergeCell ref="A63:H63"/>
    <mergeCell ref="A28:H28"/>
    <mergeCell ref="A13:H13"/>
    <mergeCell ref="A48:H48"/>
    <mergeCell ref="A15:H15"/>
    <mergeCell ref="A59:H59"/>
    <mergeCell ref="G2:H2"/>
    <mergeCell ref="A51:H51"/>
    <mergeCell ref="A49:H49"/>
    <mergeCell ref="A45:H45"/>
    <mergeCell ref="A6:H6"/>
    <mergeCell ref="A19:H19"/>
  </mergeCells>
  <conditionalFormatting sqref="A4">
    <cfRule type="expression" dxfId="25" priority="1">
      <formula>LEFT($A$4,1)="✅"</formula>
    </cfRule>
    <cfRule type="expression" dxfId="24" priority="2">
      <formula>LEFT($A$4,1)="⚠"</formula>
    </cfRule>
  </conditionalFormatting>
  <conditionalFormatting sqref="D8">
    <cfRule type="expression" dxfId="23" priority="3">
      <formula>LEFT($D$8,1)="✓"</formula>
    </cfRule>
    <cfRule type="expression" dxfId="22" priority="4">
      <formula>LEFT($D$8,1)="✗"</formula>
    </cfRule>
  </conditionalFormatting>
  <conditionalFormatting sqref="D9">
    <cfRule type="expression" dxfId="21" priority="5">
      <formula>LEFT($D$9,1)="✓"</formula>
    </cfRule>
    <cfRule type="expression" dxfId="20" priority="6">
      <formula>LEFT($D$9,1)="✗"</formula>
    </cfRule>
  </conditionalFormatting>
  <conditionalFormatting sqref="D10">
    <cfRule type="expression" dxfId="19" priority="7">
      <formula>LEFT($D$10,1)="✓"</formula>
    </cfRule>
    <cfRule type="expression" dxfId="18" priority="8">
      <formula>LEFT($D$10,1)="✗"</formula>
    </cfRule>
  </conditionalFormatting>
  <conditionalFormatting sqref="D11">
    <cfRule type="expression" dxfId="17" priority="9">
      <formula>LEFT($D$11,1)="✓"</formula>
    </cfRule>
    <cfRule type="expression" dxfId="16" priority="10">
      <formula>LEFT($D$11,1)="✗"</formula>
    </cfRule>
  </conditionalFormatting>
  <conditionalFormatting sqref="D22">
    <cfRule type="expression" dxfId="15" priority="11">
      <formula>LEFT($D$22,1)="✓"</formula>
    </cfRule>
    <cfRule type="expression" dxfId="14" priority="12">
      <formula>LEFT($D$22,1)="✗"</formula>
    </cfRule>
  </conditionalFormatting>
  <conditionalFormatting sqref="D23">
    <cfRule type="expression" dxfId="13" priority="13">
      <formula>LEFT($D$23,1)="✓"</formula>
    </cfRule>
    <cfRule type="expression" dxfId="12" priority="14">
      <formula>LEFT($D$23,1)="✗"</formula>
    </cfRule>
  </conditionalFormatting>
  <conditionalFormatting sqref="D24">
    <cfRule type="expression" dxfId="11" priority="15">
      <formula>LEFT($D$24,1)="✓"</formula>
    </cfRule>
    <cfRule type="expression" dxfId="10" priority="16">
      <formula>LEFT($D$24,1)="✗"</formula>
    </cfRule>
  </conditionalFormatting>
  <conditionalFormatting sqref="D25">
    <cfRule type="expression" dxfId="9" priority="17">
      <formula>LEFT($D$25,1)="✓"</formula>
    </cfRule>
    <cfRule type="expression" dxfId="8" priority="18">
      <formula>LEFT($D$25,1)="✗"</formula>
    </cfRule>
  </conditionalFormatting>
  <conditionalFormatting sqref="D54">
    <cfRule type="expression" dxfId="7" priority="19">
      <formula>LEFT($D$54,1)="✓"</formula>
    </cfRule>
    <cfRule type="expression" dxfId="6" priority="20">
      <formula>LEFT($D$54,1)="✗"</formula>
    </cfRule>
  </conditionalFormatting>
  <conditionalFormatting sqref="D55">
    <cfRule type="expression" dxfId="5" priority="21">
      <formula>LEFT($D$55,1)="✓"</formula>
    </cfRule>
    <cfRule type="expression" dxfId="4" priority="22">
      <formula>LEFT($D$55,1)="✗"</formula>
    </cfRule>
  </conditionalFormatting>
  <conditionalFormatting sqref="D56">
    <cfRule type="expression" dxfId="3" priority="23">
      <formula>LEFT($D$56,1)="✓"</formula>
    </cfRule>
    <cfRule type="expression" dxfId="2" priority="24">
      <formula>LEFT($D$56,1)="✗"</formula>
    </cfRule>
  </conditionalFormatting>
  <conditionalFormatting sqref="D61">
    <cfRule type="expression" dxfId="1" priority="25">
      <formula>LEFT($D$61,1)="✓"</formula>
    </cfRule>
    <cfRule type="expression" dxfId="0" priority="26">
      <formula>LEFT($D$61,1)="✗"</formula>
    </cfRule>
  </conditionalFormatting>
  <dataValidations count="4">
    <dataValidation type="list" allowBlank="1" sqref="C10 C56 C25" xr:uid="{00000000-0002-0000-0500-000000000000}">
      <formula1>"a,b,c,d"</formula1>
    </dataValidation>
    <dataValidation type="list" allowBlank="1" sqref="C21 C53" xr:uid="{00000000-0002-0000-0500-000001000000}">
      <formula1>"TRUE,FALSE"</formula1>
    </dataValidation>
    <dataValidation type="whole" allowBlank="1" sqref="E21 E53" xr:uid="{00000000-0002-0000-0500-000002000000}">
      <formula1>0</formula1>
      <formula2>5</formula2>
    </dataValidation>
    <dataValidation type="list" allowBlank="1" sqref="C61" xr:uid="{00000000-0002-0000-0500-000007000000}">
      <formula1>"Viernes,Sábado,Empate"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selection activeCell="K33" sqref="K33"/>
    </sheetView>
  </sheetViews>
  <sheetFormatPr defaultRowHeight="15" x14ac:dyDescent="0.25"/>
  <sheetData>
    <row r="1" spans="1:2" x14ac:dyDescent="0.25">
      <c r="A1" t="s">
        <v>149</v>
      </c>
      <c r="B1" t="s">
        <v>150</v>
      </c>
    </row>
    <row r="2" spans="1:2" x14ac:dyDescent="0.25">
      <c r="A2" t="s">
        <v>151</v>
      </c>
      <c r="B2">
        <v>108</v>
      </c>
    </row>
    <row r="3" spans="1:2" x14ac:dyDescent="0.25">
      <c r="A3" t="s">
        <v>152</v>
      </c>
      <c r="B3">
        <v>4</v>
      </c>
    </row>
    <row r="4" spans="1:2" x14ac:dyDescent="0.25">
      <c r="A4" t="s">
        <v>153</v>
      </c>
      <c r="B4">
        <v>108</v>
      </c>
    </row>
    <row r="5" spans="1:2" x14ac:dyDescent="0.25">
      <c r="A5" t="s">
        <v>154</v>
      </c>
      <c r="B5" t="s">
        <v>155</v>
      </c>
    </row>
    <row r="6" spans="1:2" x14ac:dyDescent="0.25">
      <c r="A6" t="s">
        <v>156</v>
      </c>
      <c r="B6" t="s">
        <v>157</v>
      </c>
    </row>
    <row r="7" spans="1:2" x14ac:dyDescent="0.25">
      <c r="A7" t="s">
        <v>158</v>
      </c>
      <c r="B7" t="s">
        <v>155</v>
      </c>
    </row>
    <row r="8" spans="1:2" x14ac:dyDescent="0.25">
      <c r="A8" t="s">
        <v>159</v>
      </c>
      <c r="B8">
        <v>90</v>
      </c>
    </row>
    <row r="9" spans="1:2" x14ac:dyDescent="0.25">
      <c r="A9" t="s">
        <v>160</v>
      </c>
      <c r="B9">
        <v>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Configuración</vt:lpstr>
      <vt:lpstr>📁 Instrucciones</vt:lpstr>
      <vt:lpstr>🔎 Ejemplo Resuelto</vt:lpstr>
      <vt:lpstr>📊 Datos</vt:lpstr>
      <vt:lpstr>🧩 Tu Caso</vt:lpstr>
      <vt:lpstr>🔒 Clave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Perez</cp:lastModifiedBy>
  <dcterms:created xsi:type="dcterms:W3CDTF">2026-08-11T11:04:58Z</dcterms:created>
  <dcterms:modified xsi:type="dcterms:W3CDTF">2026-08-11T14:54:30Z</dcterms:modified>
</cp:coreProperties>
</file>